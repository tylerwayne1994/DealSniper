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nderwriting Model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19">
      <text>
        <t xml:space="preserve">2025 P_L statement.pdf | Page 1 | Walker Apartments</t>
      </text>
    </comment>
    <comment authorId="0" ref="B20">
      <text>
        <t xml:space="preserve">2025 P_L statement.pdf | Page 1 | 521 SW 24th st Oklahoma city, OK 73109</t>
      </text>
    </comment>
    <comment authorId="0" ref="B63">
      <text>
        <t xml:space="preserve">2025 P_L statement.pdf | Page 1 | $110,775</t>
      </text>
    </comment>
    <comment authorId="0" ref="B70">
      <text>
        <t xml:space="preserve">2025 P_L statement.pdf | Page 1 | $7,560</t>
      </text>
    </comment>
    <comment authorId="0" ref="B71">
      <text>
        <t xml:space="preserve">2025 P_L statement.pdf | Page 1 | $5,544</t>
      </text>
    </comment>
    <comment authorId="0" ref="B73">
      <text>
        <t xml:space="preserve">2025 P_L statement.pdf | Page 1 | $11,906</t>
      </text>
    </comment>
    <comment authorId="0" ref="B75">
      <text>
        <t xml:space="preserve">2025 P_L statement.pdf | Page 1 | $900</t>
      </text>
    </comment>
    <comment authorId="0" ref="B77">
      <text>
        <t xml:space="preserve">2025 P_L statement.pdf | Page 1 | $5,209</t>
      </text>
    </comment>
    <comment authorId="0" ref="B78">
      <text>
        <t xml:space="preserve">2025 P_L statement.pdf | Page 1 | $8,469</t>
      </text>
    </comment>
    <comment authorId="0" ref="B80">
      <text>
        <t xml:space="preserve">2025 P_L statement.pdf | Page 1 | $2,794</t>
      </text>
    </comment>
    <comment authorId="0" ref="B81">
      <text>
        <t xml:space="preserve">2025 P_L statement.pdf | Page 1 | $1,625</t>
      </text>
    </comment>
  </commentList>
</comments>
</file>

<file path=xl/sharedStrings.xml><?xml version="1.0" encoding="utf-8"?>
<sst xmlns="http://schemas.openxmlformats.org/spreadsheetml/2006/main" count="190" uniqueCount="175">
  <si>
    <t>DEAL NAME — INVESTMENT UNDERWRITING MODEL</t>
  </si>
  <si>
    <t>Address | City, ST ZIP  |  Units  |  Year Built  |  Offer Price  |  Down %  |  Rate / Amort</t>
  </si>
  <si>
    <t>📋  DEAL SNAPSHOT</t>
  </si>
  <si>
    <t>💰  FINANCIAL PERFORMANCE</t>
  </si>
  <si>
    <t>🏦  EQUITY RETURNS (Full Value-Add)</t>
  </si>
  <si>
    <t>Purchase Price</t>
  </si>
  <si>
    <t>NOI — Current Expenses</t>
  </si>
  <si>
    <t>Your Investment</t>
  </si>
  <si>
    <t>Price Per Unit</t>
  </si>
  <si>
    <t>NOI — Full Value-Add</t>
  </si>
  <si>
    <t>Your Annual CF (S3)</t>
  </si>
  <si>
    <t>Total Cash to Close</t>
  </si>
  <si>
    <t>Cap Rate — Current</t>
  </si>
  <si>
    <t>Your Monthly CF (S3)</t>
  </si>
  <si>
    <t>Loan Amount</t>
  </si>
  <si>
    <t>Cap Rate — Value-Add</t>
  </si>
  <si>
    <t>Your 5-Year Distributions</t>
  </si>
  <si>
    <t>Monthly Debt Service</t>
  </si>
  <si>
    <t>DSCR</t>
  </si>
  <si>
    <t>Partner Investment</t>
  </si>
  <si>
    <t>Occupancy</t>
  </si>
  <si>
    <t>Annual Debt Service</t>
  </si>
  <si>
    <t>Partner Annual (S3)</t>
  </si>
  <si>
    <t>Total Units</t>
  </si>
  <si>
    <t>Interest Rate</t>
  </si>
  <si>
    <t>Year 5 Value (9% Cap)</t>
  </si>
  <si>
    <t>Year Built</t>
  </si>
  <si>
    <t>Amortization</t>
  </si>
  <si>
    <t>Return on $50k (5yr)</t>
  </si>
  <si>
    <t xml:space="preserve">  ⚠  Blue = changeable inputs  |  Black = calculated formulas  |  Green = references  |  All scenarios update automatically when inputs change</t>
  </si>
  <si>
    <t>━━━━━━━━━━━━━━━━━━━━━━━  ASSUMPTIONS  ━━━━━━━━━━━━━━━━━━━━━━━</t>
  </si>
  <si>
    <t>━━━━━━━━━━━━  EQUITY PARTNER CASHFLOW SPLIT  ━━━━━━━━━━━━</t>
  </si>
  <si>
    <t>PROPERTY INFORMATION</t>
  </si>
  <si>
    <t>CASHFLOW SUMMARY</t>
  </si>
  <si>
    <t>Scenario 1
Current Expenses</t>
  </si>
  <si>
    <t>Scenario 2
RUBS + Trash</t>
  </si>
  <si>
    <t>Scenario 3
Full Value-Add</t>
  </si>
  <si>
    <t>Property Name</t>
  </si>
  <si>
    <t>Walker Apartments</t>
  </si>
  <si>
    <t>Source: 2025 P&amp;L — Walker Apartments, Trinity Legacy LLC</t>
  </si>
  <si>
    <t>Total NOI</t>
  </si>
  <si>
    <t>Address</t>
  </si>
  <si>
    <t>521 SW 24th St, Oklahoma City, OK 73109</t>
  </si>
  <si>
    <t>Asset Type</t>
  </si>
  <si>
    <t>Total Cashflow Available</t>
  </si>
  <si>
    <t>Year Built / Renovated</t>
  </si>
  <si>
    <t>APN</t>
  </si>
  <si>
    <t>PARTNER — EQUITY / PREFERRED RETURN</t>
  </si>
  <si>
    <t>Gross Building SF</t>
  </si>
  <si>
    <t>Preferred Return</t>
  </si>
  <si>
    <t>Lot Size (Acres)</t>
  </si>
  <si>
    <t>Remaining After Pref</t>
  </si>
  <si>
    <t>Partner 20% of Remaining</t>
  </si>
  <si>
    <t>Unit Mix</t>
  </si>
  <si>
    <t>PARTNER TOTAL ANNUAL</t>
  </si>
  <si>
    <t>Current Occupancy</t>
  </si>
  <si>
    <t>Partner Monthly</t>
  </si>
  <si>
    <t>Average SF Per Unit</t>
  </si>
  <si>
    <t>Average Current Rent/Unit</t>
  </si>
  <si>
    <t>YOU — OPERATOR / 80% EQUITY</t>
  </si>
  <si>
    <t>PURCHASE &amp; FINANCING</t>
  </si>
  <si>
    <t>YOUR TOTAL ANNUAL</t>
  </si>
  <si>
    <t>Your Monthly</t>
  </si>
  <si>
    <t>Down Payment %</t>
  </si>
  <si>
    <t>Your CoC Return (on $50,000)</t>
  </si>
  <si>
    <t>Amortization (Years)</t>
  </si>
  <si>
    <t>5-YEAR ACCUMULATION</t>
  </si>
  <si>
    <t>Closing Costs %</t>
  </si>
  <si>
    <t>Working Capital ($)</t>
  </si>
  <si>
    <t>Partner 5-Year Distributions</t>
  </si>
  <si>
    <t>Down Payment ($)</t>
  </si>
  <si>
    <t>Total Distributions Combined</t>
  </si>
  <si>
    <t>CALCULATED FINANCING — do not edit (black = formula)</t>
  </si>
  <si>
    <t>━━━━━━━━━━━━  YEAR 5 BUYOUT ANALYSIS  ━━━━━━━━━━━━</t>
  </si>
  <si>
    <t>Closing Costs ($)</t>
  </si>
  <si>
    <t>Conservative
10.5% Exit Cap</t>
  </si>
  <si>
    <t>Realistic
9% Exit Cap</t>
  </si>
  <si>
    <t>Optimistic
8% Exit Cap</t>
  </si>
  <si>
    <t>PROPERTY VALUATION AT YEAR 5 (Stabilized Full Value-Add NOI)</t>
  </si>
  <si>
    <t>Stabilized NOI (Full Value-Add)</t>
  </si>
  <si>
    <t>EQUITY PARTNER STRUCTURE</t>
  </si>
  <si>
    <t>Exit Cap Rate</t>
  </si>
  <si>
    <t>Investor Contribution ($)</t>
  </si>
  <si>
    <t>Year 5 Property Value (NOI ÷ Cap Rate)</t>
  </si>
  <si>
    <t>Your Contribution ($)</t>
  </si>
  <si>
    <t>Original Purchase Price</t>
  </si>
  <si>
    <t>Preferred Return %</t>
  </si>
  <si>
    <t>Forced Appreciation Created</t>
  </si>
  <si>
    <t>Partner Equity %</t>
  </si>
  <si>
    <t>LOAN BALANCE AT YEAR 5</t>
  </si>
  <si>
    <t>Your Equity %</t>
  </si>
  <si>
    <t>VALUE-ADD ASSUMPTIONS</t>
  </si>
  <si>
    <t>Remaining Loan Balance</t>
  </si>
  <si>
    <t>Rent Bump / Unit / Mo ($)</t>
  </si>
  <si>
    <t>Total Equity in Property</t>
  </si>
  <si>
    <t>RUBS Recovery / Year ($)</t>
  </si>
  <si>
    <t>CASH-OUT REFI SCENARIOS</t>
  </si>
  <si>
    <t>Trash Fee / Unit / Mo ($)</t>
  </si>
  <si>
    <t>Annual Appreciation Rate</t>
  </si>
  <si>
    <t>70% LTV — New Loan Amount</t>
  </si>
  <si>
    <t>Exit Cap — Conservative</t>
  </si>
  <si>
    <t>75% LTV — New Loan Amount</t>
  </si>
  <si>
    <t>Exit Cap — Market</t>
  </si>
  <si>
    <t>80% LTV — New Loan Amount</t>
  </si>
  <si>
    <t>Hold Period (Years)</t>
  </si>
  <si>
    <t>70% LTV — Net Cash Out After Payoff</t>
  </si>
  <si>
    <t>━━━━━━━━━━━━  CASHFLOW SCENARIOS  ━━━━━━━━━━━━</t>
  </si>
  <si>
    <t>75% LTV — Net Cash Out After Payoff</t>
  </si>
  <si>
    <t>80% LTV — Net Cash Out After Payoff</t>
  </si>
  <si>
    <t>Scenario 3
Full Value-Add
(+Rent Bump)</t>
  </si>
  <si>
    <t>PARTNER BUYOUT — Capital Owed at Year 5</t>
  </si>
  <si>
    <t>Scheduled Gross Income</t>
  </si>
  <si>
    <t>Less: Vacancy (10%)</t>
  </si>
  <si>
    <t>Partner Capital to Return</t>
  </si>
  <si>
    <t>Other Income (Late Fees/Deposits)</t>
  </si>
  <si>
    <t>Refi Cash Out (70% LTV)</t>
  </si>
  <si>
    <t>RUBS Recovery</t>
  </si>
  <si>
    <t xml:space="preserve">  → Surplus / (Shortfall) at 70% LTV</t>
  </si>
  <si>
    <t>Trash Fee Income</t>
  </si>
  <si>
    <t>Refi Cash Out (75% LTV)</t>
  </si>
  <si>
    <t>GROSS OPERATING INCOME</t>
  </si>
  <si>
    <t xml:space="preserve">  → Surplus / (Shortfall) at 75% LTV</t>
  </si>
  <si>
    <t>EXPENSES</t>
  </si>
  <si>
    <t>Refi Cash Out (80% LTV)</t>
  </si>
  <si>
    <t>Property Tax</t>
  </si>
  <si>
    <t xml:space="preserve">  → Surplus / (Shortfall) at 80% LTV</t>
  </si>
  <si>
    <t>Insurance</t>
  </si>
  <si>
    <t>YOUR 5-YEAR TOTAL OUTCOME</t>
  </si>
  <si>
    <t>Management (6% of GOI)</t>
  </si>
  <si>
    <t>Repairs &amp; Maintenance</t>
  </si>
  <si>
    <t>Your 5-Year Distributions (Full Value-Add)</t>
  </si>
  <si>
    <t>Turnover / Cleaning</t>
  </si>
  <si>
    <t>Cash Kept After 75% LTV Buyout</t>
  </si>
  <si>
    <t>Landscaping</t>
  </si>
  <si>
    <t>TOTAL IN YOUR POCKET (Distributions + Surplus)</t>
  </si>
  <si>
    <t>Payroll</t>
  </si>
  <si>
    <t>Return on Your $50,000</t>
  </si>
  <si>
    <t>Water / Sewer</t>
  </si>
  <si>
    <t>* Practical realistic scenario = Conservative exit cap. Adjust assumptions above to model scenarios.</t>
  </si>
  <si>
    <t>Electricity (Common Only)</t>
  </si>
  <si>
    <t>Includes Gas ($2,738) — no separate line in model</t>
  </si>
  <si>
    <t>Pest Control</t>
  </si>
  <si>
    <t>Trash Service</t>
  </si>
  <si>
    <t>General Admin</t>
  </si>
  <si>
    <t>Marketing</t>
  </si>
  <si>
    <t>Reserves</t>
  </si>
  <si>
    <t>Licenses &amp; Permits</t>
  </si>
  <si>
    <t>TOTAL EXPENSES</t>
  </si>
  <si>
    <t>NET OPERATING INCOME</t>
  </si>
  <si>
    <t>DEBT SERVICE &amp; CASHFLOW</t>
  </si>
  <si>
    <t>Annual Cashflow</t>
  </si>
  <si>
    <t>Monthly Cashflow</t>
  </si>
  <si>
    <t>RETURNS</t>
  </si>
  <si>
    <t>Cap Rate</t>
  </si>
  <si>
    <t>Cash-on-Cash (Your Investment)</t>
  </si>
  <si>
    <t>Cash-on-Cash (Partner)</t>
  </si>
  <si>
    <t>━━━━━━━━━━━━  SENSITIVITY ANALYSIS  ━━━━━━━━━━━━</t>
  </si>
  <si>
    <t>TABLE 1: PROPERTY VALUE AT EXIT — NOI Scenario  ×  Exit Cap Rate  (change assumptions above to update)</t>
  </si>
  <si>
    <t>NOI Scenario</t>
  </si>
  <si>
    <t>NOI Value ($)</t>
  </si>
  <si>
    <t>Current Expenses NOI</t>
  </si>
  <si>
    <t>RUBS + Trash NOI</t>
  </si>
  <si>
    <t>Full Value-Add NOI</t>
  </si>
  <si>
    <t>Value-Add +10%</t>
  </si>
  <si>
    <t>Value-Add -10%</t>
  </si>
  <si>
    <t>TABLE 2: ANNUAL CASHFLOW SENSITIVITY — Purchase Price  ×  Interest Rate  (uses Full Value-Add NOI)</t>
  </si>
  <si>
    <t>━━━━━━━━━━━━  RENT ROLL  ━━━━━━━━━━━━</t>
  </si>
  <si>
    <t>Unit #</t>
  </si>
  <si>
    <t>Mix</t>
  </si>
  <si>
    <t>Current Rent</t>
  </si>
  <si>
    <t>Market Rent</t>
  </si>
  <si>
    <t>Loss to Lease</t>
  </si>
  <si>
    <t>SF</t>
  </si>
  <si>
    <t>Rent/SF</t>
  </si>
  <si>
    <t>Market Rent/SF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</si>
</sst>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\$#,##0;&quot;($&quot;#,##0\);\-"/>
    <numFmt numFmtId="165" formatCode="0.00\x"/>
    <numFmt numFmtId="166" formatCode="General"/>
    <numFmt numFmtId="167" formatCode="\$0.00"/>
  </numFmts>
  <fonts count="18">
    <font>
      <sz val="11.0"/>
      <color theme="1"/>
      <name val="Calibri"/>
      <scheme val="minor"/>
    </font>
    <font>
      <b/>
      <sz val="16.0"/>
      <color rgb="FFFFFFFF"/>
      <name val="Arial"/>
    </font>
    <font/>
    <font>
      <i/>
      <sz val="11.0"/>
      <color rgb="FFFFFFFF"/>
      <name val="Arial"/>
    </font>
    <font>
      <sz val="11.0"/>
      <color theme="1"/>
      <name val="Calibri"/>
    </font>
    <font>
      <b/>
      <sz val="10.0"/>
      <color rgb="FFFFFFFF"/>
      <name val="Arial"/>
    </font>
    <font>
      <sz val="10.0"/>
      <color rgb="FF000000"/>
      <name val="Arial"/>
    </font>
    <font>
      <b/>
      <sz val="10.0"/>
      <color rgb="FF000000"/>
      <name val="Arial"/>
    </font>
    <font>
      <i/>
      <sz val="9.0"/>
      <color rgb="FF808080"/>
      <name val="Arial"/>
    </font>
    <font>
      <b/>
      <sz val="11.0"/>
      <color rgb="FFFFFFFF"/>
      <name val="Arial"/>
    </font>
    <font>
      <sz val="10.0"/>
      <color rgb="FF0000FF"/>
      <name val="Arial"/>
    </font>
    <font>
      <b/>
      <sz val="10.0"/>
      <color rgb="FF008000"/>
      <name val="Arial"/>
    </font>
    <font>
      <sz val="10.0"/>
      <color rgb="FF008000"/>
      <name val="Arial"/>
    </font>
    <font>
      <b/>
      <sz val="11.0"/>
      <color rgb="FF000000"/>
      <name val="Arial"/>
    </font>
    <font>
      <i/>
      <sz val="9.0"/>
      <color rgb="FF666666"/>
      <name val="Calibri"/>
    </font>
    <font>
      <color theme="1"/>
      <name val="Calibri"/>
      <scheme val="minor"/>
    </font>
    <font>
      <b/>
      <sz val="10.0"/>
      <color rgb="FF0000FF"/>
      <name val="Arial"/>
    </font>
    <font>
      <sz val="10.0"/>
      <color rgb="FFCC0000"/>
      <name val="Arial"/>
    </font>
  </fonts>
  <fills count="12">
    <fill>
      <patternFill patternType="none"/>
    </fill>
    <fill>
      <patternFill patternType="lightGray"/>
    </fill>
    <fill>
      <patternFill patternType="solid">
        <fgColor rgb="FF0D1B2A"/>
        <bgColor rgb="FF0D1B2A"/>
      </patternFill>
    </fill>
    <fill>
      <patternFill patternType="solid">
        <fgColor rgb="FF1B3A5C"/>
        <bgColor rgb="FF1B3A5C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F5E6C8"/>
        <bgColor rgb="FFF5E6C8"/>
      </patternFill>
    </fill>
    <fill>
      <patternFill patternType="solid">
        <fgColor rgb="FFB8960C"/>
        <bgColor rgb="FFB8960C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FF00"/>
        <bgColor rgb="FFFFFF00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0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center" readingOrder="0" shrinkToFit="0" vertical="center" wrapText="0"/>
    </xf>
    <xf borderId="0" fillId="0" fontId="4" numFmtId="0" xfId="0" applyAlignment="1" applyFont="1">
      <alignment shrinkToFit="0" vertical="bottom" wrapText="0"/>
    </xf>
    <xf borderId="1" fillId="3" fontId="5" numFmtId="0" xfId="0" applyAlignment="1" applyBorder="1" applyFont="1">
      <alignment horizontal="center" shrinkToFit="0" vertical="center" wrapText="0"/>
    </xf>
    <xf borderId="1" fillId="2" fontId="5" numFmtId="0" xfId="0" applyAlignment="1" applyBorder="1" applyFont="1">
      <alignment horizontal="center" shrinkToFit="0" vertical="center" wrapText="0"/>
    </xf>
    <xf borderId="4" fillId="4" fontId="6" numFmtId="0" xfId="0" applyAlignment="1" applyBorder="1" applyFill="1" applyFont="1">
      <alignment horizontal="left" shrinkToFit="0" vertical="center" wrapText="0"/>
    </xf>
    <xf borderId="1" fillId="5" fontId="7" numFmtId="164" xfId="0" applyAlignment="1" applyBorder="1" applyFill="1" applyFont="1" applyNumberFormat="1">
      <alignment horizontal="right" readingOrder="0" shrinkToFit="0" vertical="center" wrapText="0"/>
    </xf>
    <xf borderId="4" fillId="6" fontId="6" numFmtId="0" xfId="0" applyAlignment="1" applyBorder="1" applyFill="1" applyFont="1">
      <alignment horizontal="left" shrinkToFit="0" vertical="center" wrapText="0"/>
    </xf>
    <xf borderId="1" fillId="5" fontId="7" numFmtId="164" xfId="0" applyAlignment="1" applyBorder="1" applyFont="1" applyNumberFormat="1">
      <alignment horizontal="right" shrinkToFit="0" vertical="center" wrapText="0"/>
    </xf>
    <xf borderId="4" fillId="7" fontId="6" numFmtId="0" xfId="0" applyAlignment="1" applyBorder="1" applyFill="1" applyFont="1">
      <alignment horizontal="left" shrinkToFit="0" vertical="center" wrapText="0"/>
    </xf>
    <xf borderId="1" fillId="5" fontId="7" numFmtId="10" xfId="0" applyAlignment="1" applyBorder="1" applyFont="1" applyNumberFormat="1">
      <alignment horizontal="right" shrinkToFit="0" vertical="center" wrapText="0"/>
    </xf>
    <xf borderId="1" fillId="5" fontId="7" numFmtId="165" xfId="0" applyAlignment="1" applyBorder="1" applyFont="1" applyNumberFormat="1">
      <alignment horizontal="right" shrinkToFit="0" vertical="center" wrapText="0"/>
    </xf>
    <xf borderId="1" fillId="5" fontId="7" numFmtId="3" xfId="0" applyAlignment="1" applyBorder="1" applyFont="1" applyNumberFormat="1">
      <alignment horizontal="right" shrinkToFit="0" vertical="center" wrapText="0"/>
    </xf>
    <xf borderId="1" fillId="5" fontId="7" numFmtId="0" xfId="0" applyAlignment="1" applyBorder="1" applyFont="1">
      <alignment horizontal="right" shrinkToFit="0" vertical="center" wrapText="0"/>
    </xf>
    <xf borderId="1" fillId="4" fontId="8" numFmtId="0" xfId="0" applyAlignment="1" applyBorder="1" applyFont="1">
      <alignment horizontal="center" shrinkToFit="0" vertical="center" wrapText="0"/>
    </xf>
    <xf borderId="1" fillId="2" fontId="9" numFmtId="0" xfId="0" applyAlignment="1" applyBorder="1" applyFont="1">
      <alignment horizontal="left" shrinkToFit="0" vertical="center" wrapText="0"/>
    </xf>
    <xf borderId="1" fillId="3" fontId="5" numFmtId="0" xfId="0" applyAlignment="1" applyBorder="1" applyFont="1">
      <alignment horizontal="left" shrinkToFit="0" vertical="center" wrapText="0"/>
    </xf>
    <xf borderId="4" fillId="3" fontId="5" numFmtId="0" xfId="0" applyAlignment="1" applyBorder="1" applyFont="1">
      <alignment horizontal="left" shrinkToFit="0" vertical="center" wrapText="0"/>
    </xf>
    <xf borderId="4" fillId="3" fontId="5" numFmtId="0" xfId="0" applyAlignment="1" applyBorder="1" applyFont="1">
      <alignment horizontal="left" shrinkToFit="0" vertical="center" wrapText="1"/>
    </xf>
    <xf borderId="4" fillId="4" fontId="7" numFmtId="0" xfId="0" applyAlignment="1" applyBorder="1" applyFont="1">
      <alignment horizontal="left" shrinkToFit="0" vertical="center" wrapText="0"/>
    </xf>
    <xf borderId="4" fillId="5" fontId="10" numFmtId="0" xfId="0" applyAlignment="1" applyBorder="1" applyFont="1">
      <alignment horizontal="left" readingOrder="0" shrinkToFit="0" vertical="center" wrapText="0"/>
    </xf>
    <xf borderId="4" fillId="5" fontId="8" numFmtId="0" xfId="0" applyAlignment="1" applyBorder="1" applyFont="1">
      <alignment horizontal="left" readingOrder="0" shrinkToFit="0" vertical="center" wrapText="0"/>
    </xf>
    <xf borderId="4" fillId="4" fontId="11" numFmtId="164" xfId="0" applyAlignment="1" applyBorder="1" applyFont="1" applyNumberFormat="1">
      <alignment horizontal="right" shrinkToFit="0" vertical="center" wrapText="0"/>
    </xf>
    <xf borderId="4" fillId="4" fontId="12" numFmtId="164" xfId="0" applyAlignment="1" applyBorder="1" applyFont="1" applyNumberFormat="1">
      <alignment horizontal="right" shrinkToFit="0" vertical="center" wrapText="0"/>
    </xf>
    <xf borderId="4" fillId="5" fontId="10" numFmtId="0" xfId="0" applyAlignment="1" applyBorder="1" applyFont="1">
      <alignment horizontal="left" shrinkToFit="0" vertical="center" wrapText="0"/>
    </xf>
    <xf borderId="4" fillId="3" fontId="5" numFmtId="0" xfId="0" applyAlignment="1" applyBorder="1" applyFont="1">
      <alignment horizontal="left" readingOrder="0" shrinkToFit="0" vertical="center" wrapText="0"/>
    </xf>
    <xf borderId="4" fillId="3" fontId="4" numFmtId="0" xfId="0" applyAlignment="1" applyBorder="1" applyFont="1">
      <alignment shrinkToFit="0" vertical="bottom" wrapText="0"/>
    </xf>
    <xf borderId="4" fillId="5" fontId="10" numFmtId="3" xfId="0" applyAlignment="1" applyBorder="1" applyFont="1" applyNumberFormat="1">
      <alignment horizontal="left" shrinkToFit="0" vertical="center" wrapText="0"/>
    </xf>
    <xf borderId="4" fillId="6" fontId="6" numFmtId="0" xfId="0" applyAlignment="1" applyBorder="1" applyFont="1">
      <alignment horizontal="left" readingOrder="0" shrinkToFit="0" vertical="center" wrapText="0"/>
    </xf>
    <xf borderId="4" fillId="6" fontId="12" numFmtId="164" xfId="0" applyAlignment="1" applyBorder="1" applyFont="1" applyNumberFormat="1">
      <alignment horizontal="right" shrinkToFit="0" vertical="center" wrapText="0"/>
    </xf>
    <xf borderId="4" fillId="5" fontId="10" numFmtId="2" xfId="0" applyAlignment="1" applyBorder="1" applyFont="1" applyNumberFormat="1">
      <alignment horizontal="left" shrinkToFit="0" vertical="center" wrapText="0"/>
    </xf>
    <xf borderId="4" fillId="6" fontId="6" numFmtId="164" xfId="0" applyAlignment="1" applyBorder="1" applyFont="1" applyNumberFormat="1">
      <alignment horizontal="right" shrinkToFit="0" vertical="center" wrapText="0"/>
    </xf>
    <xf borderId="4" fillId="5" fontId="10" numFmtId="3" xfId="0" applyAlignment="1" applyBorder="1" applyFont="1" applyNumberFormat="1">
      <alignment horizontal="left" readingOrder="0" shrinkToFit="0" vertical="center" wrapText="0"/>
    </xf>
    <xf borderId="4" fillId="5" fontId="8" numFmtId="0" xfId="0" applyAlignment="1" applyBorder="1" applyFont="1">
      <alignment horizontal="left" shrinkToFit="0" vertical="center" wrapText="0"/>
    </xf>
    <xf borderId="4" fillId="3" fontId="5" numFmtId="164" xfId="0" applyAlignment="1" applyBorder="1" applyFont="1" applyNumberFormat="1">
      <alignment horizontal="right" shrinkToFit="0" vertical="center" wrapText="0"/>
    </xf>
    <xf borderId="4" fillId="5" fontId="10" numFmtId="10" xfId="0" applyAlignment="1" applyBorder="1" applyFont="1" applyNumberFormat="1">
      <alignment horizontal="left" shrinkToFit="0" vertical="center" wrapText="0"/>
    </xf>
    <xf borderId="4" fillId="5" fontId="10" numFmtId="164" xfId="0" applyAlignment="1" applyBorder="1" applyFont="1" applyNumberFormat="1">
      <alignment horizontal="left" shrinkToFit="0" vertical="center" wrapText="0"/>
    </xf>
    <xf borderId="4" fillId="2" fontId="5" numFmtId="0" xfId="0" applyAlignment="1" applyBorder="1" applyFont="1">
      <alignment horizontal="left" shrinkToFit="0" vertical="center" wrapText="0"/>
    </xf>
    <xf borderId="4" fillId="2" fontId="4" numFmtId="0" xfId="0" applyAlignment="1" applyBorder="1" applyFont="1">
      <alignment shrinkToFit="0" vertical="bottom" wrapText="0"/>
    </xf>
    <xf borderId="4" fillId="2" fontId="5" numFmtId="164" xfId="0" applyAlignment="1" applyBorder="1" applyFont="1" applyNumberFormat="1">
      <alignment horizontal="right" shrinkToFit="0" vertical="center" wrapText="0"/>
    </xf>
    <xf borderId="4" fillId="5" fontId="10" numFmtId="164" xfId="0" applyAlignment="1" applyBorder="1" applyFont="1" applyNumberFormat="1">
      <alignment horizontal="left" readingOrder="0" shrinkToFit="0" vertical="center" wrapText="0"/>
    </xf>
    <xf borderId="4" fillId="7" fontId="7" numFmtId="0" xfId="0" applyAlignment="1" applyBorder="1" applyFont="1">
      <alignment horizontal="left" shrinkToFit="0" vertical="center" wrapText="0"/>
    </xf>
    <xf borderId="4" fillId="7" fontId="7" numFmtId="164" xfId="0" applyAlignment="1" applyBorder="1" applyFont="1" applyNumberFormat="1">
      <alignment horizontal="right" shrinkToFit="0" vertical="center" wrapText="0"/>
    </xf>
    <xf borderId="4" fillId="5" fontId="10" numFmtId="10" xfId="0" applyAlignment="1" applyBorder="1" applyFont="1" applyNumberFormat="1">
      <alignment horizontal="left" readingOrder="0" shrinkToFit="0" vertical="center" wrapText="0"/>
    </xf>
    <xf borderId="4" fillId="7" fontId="6" numFmtId="10" xfId="0" applyAlignment="1" applyBorder="1" applyFont="1" applyNumberFormat="1">
      <alignment horizontal="right" shrinkToFit="0" vertical="center" wrapText="0"/>
    </xf>
    <xf borderId="4" fillId="8" fontId="5" numFmtId="0" xfId="0" applyAlignment="1" applyBorder="1" applyFill="1" applyFont="1">
      <alignment horizontal="left" shrinkToFit="0" vertical="center" wrapText="0"/>
    </xf>
    <xf borderId="4" fillId="8" fontId="4" numFmtId="0" xfId="0" applyAlignment="1" applyBorder="1" applyFont="1">
      <alignment horizontal="left" shrinkToFit="0" vertical="center" wrapText="0"/>
    </xf>
    <xf borderId="4" fillId="6" fontId="7" numFmtId="0" xfId="0" applyAlignment="1" applyBorder="1" applyFont="1">
      <alignment horizontal="left" shrinkToFit="0" vertical="center" wrapText="0"/>
    </xf>
    <xf borderId="4" fillId="6" fontId="7" numFmtId="164" xfId="0" applyAlignment="1" applyBorder="1" applyFont="1" applyNumberFormat="1">
      <alignment horizontal="right" shrinkToFit="0" vertical="center" wrapText="0"/>
    </xf>
    <xf borderId="4" fillId="5" fontId="6" numFmtId="164" xfId="0" applyAlignment="1" applyBorder="1" applyFont="1" applyNumberFormat="1">
      <alignment horizontal="left" shrinkToFit="0" vertical="center" wrapText="0"/>
    </xf>
    <xf borderId="4" fillId="4" fontId="7" numFmtId="164" xfId="0" applyAlignment="1" applyBorder="1" applyFont="1" applyNumberFormat="1">
      <alignment horizontal="right" shrinkToFit="0" vertical="center" wrapText="0"/>
    </xf>
    <xf borderId="1" fillId="6" fontId="7" numFmtId="0" xfId="0" applyAlignment="1" applyBorder="1" applyFont="1">
      <alignment horizontal="left" shrinkToFit="0" vertical="center" wrapText="0"/>
    </xf>
    <xf borderId="4" fillId="3" fontId="5" numFmtId="0" xfId="0" applyAlignment="1" applyBorder="1" applyFont="1">
      <alignment horizontal="center" shrinkToFit="0" vertical="center" wrapText="1"/>
    </xf>
    <xf borderId="4" fillId="3" fontId="4" numFmtId="0" xfId="0" applyAlignment="1" applyBorder="1" applyFont="1">
      <alignment horizontal="left" shrinkToFit="0" vertical="center" wrapText="0"/>
    </xf>
    <xf borderId="4" fillId="4" fontId="12" numFmtId="10" xfId="0" applyAlignment="1" applyBorder="1" applyFont="1" applyNumberFormat="1">
      <alignment horizontal="right" shrinkToFit="0" vertical="center" wrapText="0"/>
    </xf>
    <xf borderId="4" fillId="5" fontId="10" numFmtId="10" xfId="0" applyAlignment="1" applyBorder="1" applyFont="1" applyNumberFormat="1">
      <alignment horizontal="right" shrinkToFit="0" vertical="center" wrapText="0"/>
    </xf>
    <xf borderId="4" fillId="9" fontId="7" numFmtId="0" xfId="0" applyAlignment="1" applyBorder="1" applyFill="1" applyFont="1">
      <alignment horizontal="left" shrinkToFit="0" vertical="center" wrapText="0"/>
    </xf>
    <xf borderId="4" fillId="9" fontId="13" numFmtId="164" xfId="0" applyAlignment="1" applyBorder="1" applyFont="1" applyNumberFormat="1">
      <alignment horizontal="right" shrinkToFit="0" vertical="center" wrapText="0"/>
    </xf>
    <xf borderId="4" fillId="10" fontId="7" numFmtId="0" xfId="0" applyAlignment="1" applyBorder="1" applyFill="1" applyFont="1">
      <alignment horizontal="left" shrinkToFit="0" vertical="center" wrapText="0"/>
    </xf>
    <xf borderId="4" fillId="10" fontId="7" numFmtId="164" xfId="0" applyAlignment="1" applyBorder="1" applyFont="1" applyNumberFormat="1">
      <alignment horizontal="right" shrinkToFit="0" vertical="center" wrapText="0"/>
    </xf>
    <xf borderId="4" fillId="9" fontId="7" numFmtId="164" xfId="0" applyAlignment="1" applyBorder="1" applyFont="1" applyNumberFormat="1">
      <alignment horizontal="right" shrinkToFit="0" vertical="center" wrapText="0"/>
    </xf>
    <xf borderId="4" fillId="3" fontId="5" numFmtId="0" xfId="0" applyAlignment="1" applyBorder="1" applyFont="1">
      <alignment horizontal="center" readingOrder="0" shrinkToFit="0" vertical="center" wrapText="1"/>
    </xf>
    <xf borderId="4" fillId="2" fontId="4" numFmtId="0" xfId="0" applyAlignment="1" applyBorder="1" applyFont="1">
      <alignment horizontal="left" shrinkToFit="0" vertical="center" wrapText="0"/>
    </xf>
    <xf borderId="4" fillId="5" fontId="6" numFmtId="164" xfId="0" applyAlignment="1" applyBorder="1" applyFont="1" applyNumberFormat="1">
      <alignment horizontal="right" readingOrder="0" shrinkToFit="0" vertical="center" wrapText="0"/>
    </xf>
    <xf borderId="4" fillId="5" fontId="6" numFmtId="164" xfId="0" applyAlignment="1" applyBorder="1" applyFont="1" applyNumberFormat="1">
      <alignment horizontal="right" shrinkToFit="0" vertical="center" wrapText="0"/>
    </xf>
    <xf borderId="4" fillId="5" fontId="6" numFmtId="0" xfId="0" applyAlignment="1" applyBorder="1" applyFont="1">
      <alignment horizontal="left" shrinkToFit="0" vertical="center" wrapText="0"/>
    </xf>
    <xf borderId="4" fillId="10" fontId="11" numFmtId="164" xfId="0" applyAlignment="1" applyBorder="1" applyFont="1" applyNumberFormat="1">
      <alignment horizontal="right" shrinkToFit="0" vertical="center" wrapText="0"/>
    </xf>
    <xf borderId="4" fillId="5" fontId="12" numFmtId="164" xfId="0" applyAlignment="1" applyBorder="1" applyFont="1" applyNumberFormat="1">
      <alignment horizontal="right" shrinkToFit="0" vertical="center" wrapText="0"/>
    </xf>
    <xf borderId="4" fillId="7" fontId="11" numFmtId="164" xfId="0" applyAlignment="1" applyBorder="1" applyFont="1" applyNumberFormat="1">
      <alignment horizontal="right" shrinkToFit="0" vertical="center" wrapText="0"/>
    </xf>
    <xf borderId="4" fillId="2" fontId="9" numFmtId="0" xfId="0" applyAlignment="1" applyBorder="1" applyFont="1">
      <alignment horizontal="left" shrinkToFit="0" vertical="center" wrapText="0"/>
    </xf>
    <xf borderId="4" fillId="2" fontId="9" numFmtId="164" xfId="0" applyAlignment="1" applyBorder="1" applyFont="1" applyNumberFormat="1">
      <alignment horizontal="right" shrinkToFit="0" vertical="center" wrapText="0"/>
    </xf>
    <xf borderId="4" fillId="7" fontId="7" numFmtId="10" xfId="0" applyAlignment="1" applyBorder="1" applyFont="1" applyNumberFormat="1">
      <alignment horizontal="right" shrinkToFit="0" vertical="center" wrapText="0"/>
    </xf>
    <xf borderId="1" fillId="4" fontId="8" numFmtId="0" xfId="0" applyAlignment="1" applyBorder="1" applyFont="1">
      <alignment horizontal="left" readingOrder="0" shrinkToFit="0" vertical="center" wrapText="0"/>
    </xf>
    <xf borderId="4" fillId="11" fontId="6" numFmtId="164" xfId="0" applyAlignment="1" applyBorder="1" applyFill="1" applyFont="1" applyNumberFormat="1">
      <alignment horizontal="right" readingOrder="0" shrinkToFit="0" vertical="center" wrapText="0"/>
    </xf>
    <xf borderId="0" fillId="0" fontId="14" numFmtId="0" xfId="0" applyAlignment="1" applyFont="1">
      <alignment readingOrder="0" shrinkToFit="0" vertical="bottom" wrapText="0"/>
    </xf>
    <xf borderId="4" fillId="9" fontId="13" numFmtId="0" xfId="0" applyAlignment="1" applyBorder="1" applyFont="1">
      <alignment horizontal="left" shrinkToFit="0" vertical="center" wrapText="0"/>
    </xf>
    <xf borderId="4" fillId="6" fontId="6" numFmtId="10" xfId="0" applyAlignment="1" applyBorder="1" applyFont="1" applyNumberFormat="1">
      <alignment horizontal="right" shrinkToFit="0" vertical="center" wrapText="0"/>
    </xf>
    <xf borderId="4" fillId="6" fontId="6" numFmtId="165" xfId="0" applyAlignment="1" applyBorder="1" applyFont="1" applyNumberFormat="1">
      <alignment horizontal="right" shrinkToFit="0" vertical="center" wrapText="0"/>
    </xf>
    <xf borderId="0" fillId="0" fontId="15" numFmtId="166" xfId="0" applyAlignment="1" applyFont="1" applyNumberFormat="1">
      <alignment horizontal="left" shrinkToFit="0" vertical="bottom" wrapText="0"/>
    </xf>
    <xf borderId="4" fillId="2" fontId="5" numFmtId="0" xfId="0" applyAlignment="1" applyBorder="1" applyFont="1">
      <alignment horizontal="right" shrinkToFit="0" vertical="center" wrapText="0"/>
    </xf>
    <xf borderId="4" fillId="2" fontId="5" numFmtId="10" xfId="0" applyAlignment="1" applyBorder="1" applyFont="1" applyNumberFormat="1">
      <alignment horizontal="center" shrinkToFit="0" vertical="center" wrapText="0"/>
    </xf>
    <xf borderId="4" fillId="7" fontId="12" numFmtId="164" xfId="0" applyAlignment="1" applyBorder="1" applyFont="1" applyNumberFormat="1">
      <alignment horizontal="right" shrinkToFit="0" vertical="center" wrapText="0"/>
    </xf>
    <xf borderId="4" fillId="7" fontId="6" numFmtId="164" xfId="0" applyAlignment="1" applyBorder="1" applyFont="1" applyNumberFormat="1">
      <alignment horizontal="right" shrinkToFit="0" vertical="center" wrapText="0"/>
    </xf>
    <xf borderId="4" fillId="7" fontId="16" numFmtId="164" xfId="0" applyAlignment="1" applyBorder="1" applyFont="1" applyNumberFormat="1">
      <alignment horizontal="left" shrinkToFit="0" vertical="center" wrapText="0"/>
    </xf>
    <xf borderId="1" fillId="2" fontId="9" numFmtId="0" xfId="0" applyAlignment="1" applyBorder="1" applyFont="1">
      <alignment horizontal="left" readingOrder="0" shrinkToFit="0" vertical="center" wrapText="0"/>
    </xf>
    <xf borderId="4" fillId="3" fontId="5" numFmtId="0" xfId="0" applyAlignment="1" applyBorder="1" applyFont="1">
      <alignment horizontal="center" shrinkToFit="0" vertical="center" wrapText="0"/>
    </xf>
    <xf borderId="4" fillId="10" fontId="6" numFmtId="0" xfId="0" applyAlignment="1" applyBorder="1" applyFont="1">
      <alignment horizontal="center" shrinkToFit="0" vertical="center" wrapText="0"/>
    </xf>
    <xf borderId="4" fillId="10" fontId="6" numFmtId="164" xfId="0" applyAlignment="1" applyBorder="1" applyFont="1" applyNumberFormat="1">
      <alignment horizontal="right" shrinkToFit="0" vertical="center" wrapText="0"/>
    </xf>
    <xf borderId="4" fillId="10" fontId="17" numFmtId="164" xfId="0" applyAlignment="1" applyBorder="1" applyFont="1" applyNumberFormat="1">
      <alignment horizontal="right" shrinkToFit="0" vertical="center" wrapText="0"/>
    </xf>
    <xf borderId="4" fillId="10" fontId="6" numFmtId="3" xfId="0" applyAlignment="1" applyBorder="1" applyFont="1" applyNumberFormat="1">
      <alignment horizontal="right" shrinkToFit="0" vertical="center" wrapText="0"/>
    </xf>
    <xf borderId="4" fillId="10" fontId="6" numFmtId="167" xfId="0" applyAlignment="1" applyBorder="1" applyFont="1" applyNumberFormat="1">
      <alignment horizontal="right" shrinkToFit="0" vertical="center" wrapText="0"/>
    </xf>
    <xf borderId="4" fillId="5" fontId="6" numFmtId="0" xfId="0" applyAlignment="1" applyBorder="1" applyFont="1">
      <alignment horizontal="center" shrinkToFit="0" vertical="center" wrapText="0"/>
    </xf>
    <xf borderId="4" fillId="5" fontId="6" numFmtId="3" xfId="0" applyAlignment="1" applyBorder="1" applyFont="1" applyNumberFormat="1">
      <alignment horizontal="right" shrinkToFit="0" vertical="center" wrapText="0"/>
    </xf>
    <xf borderId="4" fillId="5" fontId="6" numFmtId="167" xfId="0" applyAlignment="1" applyBorder="1" applyFont="1" applyNumberFormat="1">
      <alignment horizontal="right" shrinkToFit="0" vertical="center" wrapText="0"/>
    </xf>
    <xf borderId="4" fillId="9" fontId="6" numFmtId="0" xfId="0" applyAlignment="1" applyBorder="1" applyFont="1">
      <alignment horizontal="center" shrinkToFit="0" vertical="center" wrapText="0"/>
    </xf>
    <xf borderId="4" fillId="9" fontId="6" numFmtId="164" xfId="0" applyAlignment="1" applyBorder="1" applyFont="1" applyNumberFormat="1">
      <alignment horizontal="right" shrinkToFit="0" vertical="center" wrapText="0"/>
    </xf>
    <xf borderId="4" fillId="9" fontId="12" numFmtId="164" xfId="0" applyAlignment="1" applyBorder="1" applyFont="1" applyNumberFormat="1">
      <alignment horizontal="right" shrinkToFit="0" vertical="center" wrapText="0"/>
    </xf>
    <xf borderId="4" fillId="9" fontId="6" numFmtId="3" xfId="0" applyAlignment="1" applyBorder="1" applyFont="1" applyNumberFormat="1">
      <alignment horizontal="right" shrinkToFit="0" vertical="center" wrapText="0"/>
    </xf>
    <xf borderId="4" fillId="9" fontId="6" numFmtId="167" xfId="0" applyAlignment="1" applyBorder="1" applyFont="1" applyNumberFormat="1">
      <alignment horizontal="righ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38.0"/>
    <col customWidth="1" min="2" max="4" width="20.0"/>
    <col customWidth="1" min="5" max="5" width="4.0"/>
    <col customWidth="1" min="6" max="6" width="53.43"/>
    <col customWidth="1" min="7" max="9" width="23.0"/>
    <col customWidth="1" min="10" max="12" width="18.0"/>
    <col customWidth="1" min="13" max="26" width="8.71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</row>
    <row r="2">
      <c r="A2" s="4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3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>
      <c r="A4" s="6" t="s">
        <v>2</v>
      </c>
      <c r="B4" s="2"/>
      <c r="C4" s="2"/>
      <c r="D4" s="2"/>
      <c r="E4" s="2"/>
      <c r="F4" s="3"/>
      <c r="G4" s="6" t="s">
        <v>3</v>
      </c>
      <c r="H4" s="2"/>
      <c r="I4" s="3"/>
      <c r="J4" s="7" t="s">
        <v>4</v>
      </c>
      <c r="K4" s="2"/>
      <c r="L4" s="3"/>
    </row>
    <row r="5">
      <c r="A5" s="8" t="s">
        <v>5</v>
      </c>
      <c r="B5" s="9">
        <v>850000.0</v>
      </c>
      <c r="C5" s="2"/>
      <c r="D5" s="2"/>
      <c r="E5" s="2"/>
      <c r="F5" s="3"/>
      <c r="G5" s="10" t="s">
        <v>6</v>
      </c>
      <c r="H5" s="11">
        <f>B87</f>
        <v>52952.5</v>
      </c>
      <c r="I5" s="3"/>
      <c r="J5" s="12" t="s">
        <v>7</v>
      </c>
      <c r="K5" s="11">
        <f>B47</f>
        <v>0</v>
      </c>
      <c r="L5" s="3"/>
    </row>
    <row r="6">
      <c r="A6" s="8" t="s">
        <v>8</v>
      </c>
      <c r="B6" s="11">
        <f>B5/B11</f>
        <v>70833.33333</v>
      </c>
      <c r="C6" s="2"/>
      <c r="D6" s="2"/>
      <c r="E6" s="2"/>
      <c r="F6" s="3"/>
      <c r="G6" s="10" t="s">
        <v>9</v>
      </c>
      <c r="H6" s="11">
        <f>D87</f>
        <v>52952.5</v>
      </c>
      <c r="I6" s="3"/>
      <c r="J6" s="12" t="s">
        <v>10</v>
      </c>
      <c r="K6" s="11">
        <f t="shared" ref="K6:K7" si="1">I31</f>
        <v>-12460.94689</v>
      </c>
      <c r="L6" s="3"/>
    </row>
    <row r="7">
      <c r="A7" s="8" t="s">
        <v>11</v>
      </c>
      <c r="B7" s="11">
        <f>B42</f>
        <v>178500</v>
      </c>
      <c r="C7" s="2"/>
      <c r="D7" s="2"/>
      <c r="E7" s="2"/>
      <c r="F7" s="3"/>
      <c r="G7" s="10" t="s">
        <v>12</v>
      </c>
      <c r="H7" s="13">
        <f>B95</f>
        <v>0.06229705882</v>
      </c>
      <c r="I7" s="3"/>
      <c r="J7" s="12" t="s">
        <v>13</v>
      </c>
      <c r="K7" s="11">
        <f t="shared" si="1"/>
        <v>-1038.41224</v>
      </c>
      <c r="L7" s="3"/>
    </row>
    <row r="8">
      <c r="A8" s="8" t="s">
        <v>14</v>
      </c>
      <c r="B8" s="11">
        <f>B40</f>
        <v>680000</v>
      </c>
      <c r="C8" s="2"/>
      <c r="D8" s="2"/>
      <c r="E8" s="2"/>
      <c r="F8" s="3"/>
      <c r="G8" s="10" t="s">
        <v>15</v>
      </c>
      <c r="H8" s="13">
        <f>D95</f>
        <v>0.06229705882</v>
      </c>
      <c r="I8" s="3"/>
      <c r="J8" s="12" t="s">
        <v>16</v>
      </c>
      <c r="K8" s="11">
        <f>I36</f>
        <v>-62304.73443</v>
      </c>
      <c r="L8" s="3"/>
    </row>
    <row r="9">
      <c r="A9" s="8" t="s">
        <v>17</v>
      </c>
      <c r="B9" s="11">
        <f>B43</f>
        <v>4524.056967</v>
      </c>
      <c r="C9" s="2"/>
      <c r="D9" s="2"/>
      <c r="E9" s="2"/>
      <c r="F9" s="3"/>
      <c r="G9" s="10" t="s">
        <v>18</v>
      </c>
      <c r="H9" s="14">
        <f>B96</f>
        <v>0.9753874377</v>
      </c>
      <c r="I9" s="3"/>
      <c r="J9" s="12" t="s">
        <v>19</v>
      </c>
      <c r="K9" s="11">
        <f>B46</f>
        <v>178000</v>
      </c>
      <c r="L9" s="3"/>
    </row>
    <row r="10">
      <c r="A10" s="8" t="s">
        <v>20</v>
      </c>
      <c r="B10" s="13" t="str">
        <f>B28</f>
        <v/>
      </c>
      <c r="C10" s="2"/>
      <c r="D10" s="2"/>
      <c r="E10" s="2"/>
      <c r="F10" s="3"/>
      <c r="G10" s="10" t="s">
        <v>21</v>
      </c>
      <c r="H10" s="11">
        <f>B44</f>
        <v>54288.68361</v>
      </c>
      <c r="I10" s="3"/>
      <c r="J10" s="12" t="s">
        <v>22</v>
      </c>
      <c r="K10" s="11">
        <f>I27</f>
        <v>11124.76328</v>
      </c>
      <c r="L10" s="3"/>
    </row>
    <row r="11">
      <c r="A11" s="8" t="s">
        <v>23</v>
      </c>
      <c r="B11" s="15">
        <f>B26</f>
        <v>12</v>
      </c>
      <c r="C11" s="2"/>
      <c r="D11" s="2"/>
      <c r="E11" s="2"/>
      <c r="F11" s="3"/>
      <c r="G11" s="10" t="s">
        <v>24</v>
      </c>
      <c r="H11" s="13">
        <f>B34</f>
        <v>0.07</v>
      </c>
      <c r="I11" s="3"/>
      <c r="J11" s="12" t="s">
        <v>25</v>
      </c>
      <c r="K11" s="11" t="str">
        <f>H46</f>
        <v>#DIV/0!</v>
      </c>
      <c r="L11" s="3"/>
    </row>
    <row r="12">
      <c r="A12" s="8" t="s">
        <v>26</v>
      </c>
      <c r="B12" s="15"/>
      <c r="C12" s="2"/>
      <c r="D12" s="2"/>
      <c r="E12" s="2"/>
      <c r="F12" s="3"/>
      <c r="G12" s="10" t="s">
        <v>27</v>
      </c>
      <c r="H12" s="16" t="str">
        <f>B35&amp;" yrs"</f>
        <v>30 yrs</v>
      </c>
      <c r="I12" s="3"/>
      <c r="J12" s="12" t="s">
        <v>28</v>
      </c>
      <c r="K12" s="13" t="str">
        <f>H76</f>
        <v>#DIV/0!</v>
      </c>
      <c r="L12" s="3"/>
    </row>
    <row r="1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</row>
    <row r="14">
      <c r="A14" s="17" t="s">
        <v>29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3"/>
    </row>
    <row r="1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</row>
    <row r="16">
      <c r="A16" s="18" t="s">
        <v>30</v>
      </c>
      <c r="B16" s="2"/>
      <c r="C16" s="2"/>
      <c r="D16" s="3"/>
      <c r="E16" s="5"/>
      <c r="F16" s="18" t="s">
        <v>31</v>
      </c>
      <c r="G16" s="2"/>
      <c r="H16" s="2"/>
      <c r="I16" s="3"/>
      <c r="J16" s="5"/>
      <c r="K16" s="5"/>
      <c r="L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>
      <c r="A18" s="19" t="s">
        <v>32</v>
      </c>
      <c r="B18" s="2"/>
      <c r="C18" s="2"/>
      <c r="D18" s="3"/>
      <c r="E18" s="5"/>
      <c r="F18" s="20" t="s">
        <v>33</v>
      </c>
      <c r="G18" s="21" t="s">
        <v>34</v>
      </c>
      <c r="H18" s="21" t="s">
        <v>35</v>
      </c>
      <c r="I18" s="21" t="s">
        <v>36</v>
      </c>
      <c r="J18" s="5"/>
      <c r="K18" s="5"/>
      <c r="L18" s="5"/>
    </row>
    <row r="19">
      <c r="A19" s="22" t="s">
        <v>37</v>
      </c>
      <c r="B19" s="23" t="s">
        <v>38</v>
      </c>
      <c r="C19" s="24" t="s">
        <v>39</v>
      </c>
      <c r="D19" s="5"/>
      <c r="E19" s="5"/>
      <c r="F19" s="22" t="s">
        <v>40</v>
      </c>
      <c r="G19" s="25">
        <f t="shared" ref="G19:I19" si="2">B87</f>
        <v>52952.5</v>
      </c>
      <c r="H19" s="25">
        <f t="shared" si="2"/>
        <v>52952.5</v>
      </c>
      <c r="I19" s="25">
        <f t="shared" si="2"/>
        <v>52952.5</v>
      </c>
      <c r="J19" s="5"/>
      <c r="K19" s="5"/>
      <c r="L19" s="5"/>
    </row>
    <row r="20">
      <c r="A20" s="22" t="s">
        <v>41</v>
      </c>
      <c r="B20" s="23" t="s">
        <v>42</v>
      </c>
      <c r="C20" s="5"/>
      <c r="D20" s="5"/>
      <c r="E20" s="5"/>
      <c r="F20" s="8" t="s">
        <v>21</v>
      </c>
      <c r="G20" s="26">
        <f>B44</f>
        <v>54288.68361</v>
      </c>
      <c r="H20" s="26">
        <f>B44</f>
        <v>54288.68361</v>
      </c>
      <c r="I20" s="26">
        <f>B44</f>
        <v>54288.68361</v>
      </c>
      <c r="J20" s="5"/>
      <c r="K20" s="5"/>
      <c r="L20" s="5"/>
    </row>
    <row r="21">
      <c r="A21" s="22" t="s">
        <v>43</v>
      </c>
      <c r="B21" s="27"/>
      <c r="C21" s="5"/>
      <c r="D21" s="5"/>
      <c r="E21" s="5"/>
      <c r="F21" s="22" t="s">
        <v>44</v>
      </c>
      <c r="G21" s="25">
        <f t="shared" ref="G21:I21" si="3">B91</f>
        <v>-1336.183607</v>
      </c>
      <c r="H21" s="25">
        <f t="shared" si="3"/>
        <v>-1336.183607</v>
      </c>
      <c r="I21" s="25">
        <f t="shared" si="3"/>
        <v>-1336.183607</v>
      </c>
      <c r="J21" s="5"/>
      <c r="K21" s="5"/>
      <c r="L21" s="5"/>
    </row>
    <row r="22">
      <c r="A22" s="22" t="s">
        <v>45</v>
      </c>
      <c r="B22" s="27"/>
      <c r="C22" s="5"/>
      <c r="D22" s="5"/>
      <c r="E22" s="5"/>
      <c r="F22" s="5"/>
      <c r="G22" s="5"/>
      <c r="H22" s="5"/>
      <c r="I22" s="5"/>
      <c r="J22" s="5"/>
      <c r="K22" s="5"/>
      <c r="L22" s="5"/>
    </row>
    <row r="23">
      <c r="A23" s="22" t="s">
        <v>46</v>
      </c>
      <c r="B23" s="27"/>
      <c r="C23" s="5"/>
      <c r="D23" s="5"/>
      <c r="E23" s="5"/>
      <c r="F23" s="28" t="s">
        <v>47</v>
      </c>
      <c r="G23" s="29"/>
      <c r="H23" s="29"/>
      <c r="I23" s="29"/>
      <c r="J23" s="5"/>
      <c r="K23" s="5"/>
      <c r="L23" s="5"/>
    </row>
    <row r="24">
      <c r="A24" s="22" t="s">
        <v>48</v>
      </c>
      <c r="B24" s="30"/>
      <c r="C24" s="5"/>
      <c r="D24" s="5"/>
      <c r="E24" s="5"/>
      <c r="F24" s="31" t="s">
        <v>49</v>
      </c>
      <c r="G24" s="32">
        <f>B46*B48</f>
        <v>14240</v>
      </c>
      <c r="H24" s="32">
        <f>B46*B48</f>
        <v>14240</v>
      </c>
      <c r="I24" s="32">
        <f>B46*B48</f>
        <v>14240</v>
      </c>
      <c r="J24" s="5"/>
      <c r="K24" s="5"/>
      <c r="L24" s="5"/>
    </row>
    <row r="25">
      <c r="A25" s="22" t="s">
        <v>50</v>
      </c>
      <c r="B25" s="33"/>
      <c r="C25" s="5"/>
      <c r="D25" s="5"/>
      <c r="E25" s="5"/>
      <c r="F25" s="10" t="s">
        <v>51</v>
      </c>
      <c r="G25" s="34">
        <f>G21-G24</f>
        <v>-15576.18361</v>
      </c>
      <c r="H25" s="34">
        <f>H21-G24</f>
        <v>-15576.18361</v>
      </c>
      <c r="I25" s="34">
        <f>I21-G24</f>
        <v>-15576.18361</v>
      </c>
      <c r="J25" s="5"/>
      <c r="K25" s="5"/>
      <c r="L25" s="5"/>
    </row>
    <row r="26">
      <c r="A26" s="22" t="s">
        <v>23</v>
      </c>
      <c r="B26" s="35">
        <v>12.0</v>
      </c>
      <c r="C26" s="36"/>
      <c r="D26" s="5"/>
      <c r="E26" s="5"/>
      <c r="F26" s="10" t="s">
        <v>52</v>
      </c>
      <c r="G26" s="34">
        <f>G25*B49</f>
        <v>-3115.236721</v>
      </c>
      <c r="H26" s="34">
        <f>H25*B49</f>
        <v>-3115.236721</v>
      </c>
      <c r="I26" s="34">
        <f>I25*B49</f>
        <v>-3115.236721</v>
      </c>
      <c r="J26" s="5"/>
      <c r="K26" s="5"/>
      <c r="L26" s="5"/>
    </row>
    <row r="27">
      <c r="A27" s="22" t="s">
        <v>53</v>
      </c>
      <c r="B27" s="27"/>
      <c r="C27" s="5"/>
      <c r="D27" s="5"/>
      <c r="E27" s="5"/>
      <c r="F27" s="20" t="s">
        <v>54</v>
      </c>
      <c r="G27" s="37">
        <f>G24+G26</f>
        <v>11124.76328</v>
      </c>
      <c r="H27" s="37">
        <f>G24+H26</f>
        <v>11124.76328</v>
      </c>
      <c r="I27" s="37">
        <f>G24+I26</f>
        <v>11124.76328</v>
      </c>
      <c r="J27" s="5"/>
      <c r="K27" s="5"/>
      <c r="L27" s="5"/>
    </row>
    <row r="28">
      <c r="A28" s="22" t="s">
        <v>55</v>
      </c>
      <c r="B28" s="38"/>
      <c r="C28" s="36"/>
      <c r="D28" s="5"/>
      <c r="E28" s="5"/>
      <c r="F28" s="10" t="s">
        <v>56</v>
      </c>
      <c r="G28" s="34">
        <f t="shared" ref="G28:I28" si="4">G27/12</f>
        <v>927.0636066</v>
      </c>
      <c r="H28" s="34">
        <f t="shared" si="4"/>
        <v>927.0636066</v>
      </c>
      <c r="I28" s="34">
        <f t="shared" si="4"/>
        <v>927.0636066</v>
      </c>
      <c r="J28" s="5"/>
      <c r="K28" s="5"/>
      <c r="L28" s="5"/>
    </row>
    <row r="29">
      <c r="A29" s="22" t="s">
        <v>57</v>
      </c>
      <c r="B29" s="30"/>
      <c r="C29" s="5"/>
      <c r="D29" s="5"/>
      <c r="E29" s="5"/>
      <c r="F29" s="5"/>
      <c r="G29" s="5"/>
      <c r="H29" s="5"/>
      <c r="I29" s="5"/>
      <c r="J29" s="5"/>
      <c r="K29" s="5"/>
      <c r="L29" s="5"/>
    </row>
    <row r="30">
      <c r="A30" s="22" t="s">
        <v>58</v>
      </c>
      <c r="B30" s="39"/>
      <c r="C30" s="36"/>
      <c r="D30" s="5"/>
      <c r="E30" s="5"/>
      <c r="F30" s="40" t="s">
        <v>59</v>
      </c>
      <c r="G30" s="41"/>
      <c r="H30" s="41"/>
      <c r="I30" s="41"/>
      <c r="J30" s="5"/>
      <c r="K30" s="5"/>
      <c r="L30" s="5"/>
    </row>
    <row r="31">
      <c r="A31" s="19" t="s">
        <v>60</v>
      </c>
      <c r="B31" s="2"/>
      <c r="C31" s="2"/>
      <c r="D31" s="3"/>
      <c r="E31" s="5"/>
      <c r="F31" s="40" t="s">
        <v>61</v>
      </c>
      <c r="G31" s="42">
        <f t="shared" ref="G31:I31" si="5">G21-G27</f>
        <v>-12460.94689</v>
      </c>
      <c r="H31" s="42">
        <f t="shared" si="5"/>
        <v>-12460.94689</v>
      </c>
      <c r="I31" s="42">
        <f t="shared" si="5"/>
        <v>-12460.94689</v>
      </c>
      <c r="J31" s="5"/>
      <c r="K31" s="5"/>
      <c r="L31" s="5"/>
    </row>
    <row r="32">
      <c r="A32" s="22" t="s">
        <v>5</v>
      </c>
      <c r="B32" s="43">
        <v>850000.0</v>
      </c>
      <c r="C32" s="36"/>
      <c r="D32" s="5"/>
      <c r="E32" s="5"/>
      <c r="F32" s="44" t="s">
        <v>62</v>
      </c>
      <c r="G32" s="45">
        <f t="shared" ref="G32:I32" si="6">G31/12</f>
        <v>-1038.41224</v>
      </c>
      <c r="H32" s="45">
        <f t="shared" si="6"/>
        <v>-1038.41224</v>
      </c>
      <c r="I32" s="45">
        <f t="shared" si="6"/>
        <v>-1038.41224</v>
      </c>
      <c r="J32" s="5"/>
      <c r="K32" s="5"/>
      <c r="L32" s="5"/>
    </row>
    <row r="33">
      <c r="A33" s="22" t="s">
        <v>63</v>
      </c>
      <c r="B33" s="46">
        <v>0.2</v>
      </c>
      <c r="C33" s="36"/>
      <c r="D33" s="5"/>
      <c r="E33" s="5"/>
      <c r="F33" s="12" t="s">
        <v>64</v>
      </c>
      <c r="G33" s="47" t="str">
        <f>G31/B47</f>
        <v>#DIV/0!</v>
      </c>
      <c r="H33" s="47" t="str">
        <f>H31/B47</f>
        <v>#DIV/0!</v>
      </c>
      <c r="I33" s="47" t="str">
        <f>I31/B47</f>
        <v>#DIV/0!</v>
      </c>
      <c r="J33" s="5"/>
      <c r="K33" s="5"/>
      <c r="L33" s="5"/>
    </row>
    <row r="34">
      <c r="A34" s="22" t="s">
        <v>24</v>
      </c>
      <c r="B34" s="46">
        <v>0.07</v>
      </c>
      <c r="C34" s="36"/>
      <c r="D34" s="5"/>
      <c r="E34" s="5"/>
      <c r="F34" s="5"/>
      <c r="G34" s="5"/>
      <c r="H34" s="5"/>
      <c r="I34" s="5"/>
      <c r="J34" s="5"/>
      <c r="K34" s="5"/>
      <c r="L34" s="5"/>
    </row>
    <row r="35">
      <c r="A35" s="22" t="s">
        <v>65</v>
      </c>
      <c r="B35" s="35">
        <v>30.0</v>
      </c>
      <c r="C35" s="36"/>
      <c r="D35" s="5"/>
      <c r="E35" s="5"/>
      <c r="F35" s="48" t="s">
        <v>66</v>
      </c>
      <c r="G35" s="49"/>
      <c r="H35" s="49"/>
      <c r="I35" s="49"/>
      <c r="J35" s="5"/>
      <c r="K35" s="5"/>
      <c r="L35" s="5"/>
    </row>
    <row r="36">
      <c r="A36" s="22" t="s">
        <v>67</v>
      </c>
      <c r="B36" s="46">
        <v>0.01</v>
      </c>
      <c r="C36" s="36"/>
      <c r="D36" s="5"/>
      <c r="E36" s="5"/>
      <c r="F36" s="44" t="s">
        <v>16</v>
      </c>
      <c r="G36" s="45">
        <f t="shared" ref="G36:I36" si="7">G31*5</f>
        <v>-62304.73443</v>
      </c>
      <c r="H36" s="45">
        <f t="shared" si="7"/>
        <v>-62304.73443</v>
      </c>
      <c r="I36" s="45">
        <f t="shared" si="7"/>
        <v>-62304.73443</v>
      </c>
      <c r="J36" s="5"/>
      <c r="K36" s="5"/>
      <c r="L36" s="5"/>
    </row>
    <row r="37">
      <c r="A37" s="22" t="s">
        <v>68</v>
      </c>
      <c r="B37" s="39"/>
      <c r="C37" s="36"/>
      <c r="D37" s="5"/>
      <c r="E37" s="5"/>
      <c r="F37" s="50" t="s">
        <v>69</v>
      </c>
      <c r="G37" s="51">
        <f t="shared" ref="G37:I37" si="8">G27*5</f>
        <v>55623.81639</v>
      </c>
      <c r="H37" s="51">
        <f t="shared" si="8"/>
        <v>55623.81639</v>
      </c>
      <c r="I37" s="51">
        <f t="shared" si="8"/>
        <v>55623.81639</v>
      </c>
      <c r="J37" s="5"/>
      <c r="K37" s="5"/>
      <c r="L37" s="5"/>
    </row>
    <row r="38">
      <c r="A38" s="50" t="s">
        <v>70</v>
      </c>
      <c r="B38" s="52">
        <f>B32*B33</f>
        <v>170000</v>
      </c>
      <c r="C38" s="5"/>
      <c r="D38" s="5"/>
      <c r="E38" s="5"/>
      <c r="F38" s="22" t="s">
        <v>71</v>
      </c>
      <c r="G38" s="53">
        <f t="shared" ref="G38:I38" si="9">G36+G37</f>
        <v>-6680.918033</v>
      </c>
      <c r="H38" s="53">
        <f t="shared" si="9"/>
        <v>-6680.918033</v>
      </c>
      <c r="I38" s="53">
        <f t="shared" si="9"/>
        <v>-6680.918033</v>
      </c>
      <c r="J38" s="5"/>
      <c r="K38" s="5"/>
      <c r="L38" s="5"/>
    </row>
    <row r="39">
      <c r="A39" s="54" t="s">
        <v>72</v>
      </c>
      <c r="B39" s="2"/>
      <c r="C39" s="2"/>
      <c r="D39" s="3"/>
      <c r="E39" s="5"/>
      <c r="F39" s="5"/>
      <c r="G39" s="5"/>
      <c r="H39" s="5"/>
      <c r="I39" s="5"/>
      <c r="J39" s="5"/>
      <c r="K39" s="5"/>
      <c r="L39" s="5"/>
    </row>
    <row r="40">
      <c r="A40" s="50" t="s">
        <v>14</v>
      </c>
      <c r="B40" s="52">
        <f>B32-B38</f>
        <v>680000</v>
      </c>
      <c r="C40" s="5"/>
      <c r="D40" s="5"/>
      <c r="E40" s="5"/>
      <c r="F40" s="18" t="s">
        <v>73</v>
      </c>
      <c r="G40" s="2"/>
      <c r="H40" s="2"/>
      <c r="I40" s="3"/>
      <c r="J40" s="5"/>
      <c r="K40" s="5"/>
      <c r="L40" s="5"/>
    </row>
    <row r="41">
      <c r="A41" s="50" t="s">
        <v>74</v>
      </c>
      <c r="B41" s="52">
        <f>B32*B36</f>
        <v>8500</v>
      </c>
      <c r="C41" s="5"/>
      <c r="D41" s="5"/>
      <c r="E41" s="5"/>
      <c r="F41" s="5"/>
      <c r="G41" s="5"/>
      <c r="H41" s="5"/>
      <c r="I41" s="5"/>
      <c r="J41" s="5"/>
      <c r="K41" s="5"/>
      <c r="L41" s="5"/>
    </row>
    <row r="42">
      <c r="A42" s="50" t="s">
        <v>11</v>
      </c>
      <c r="B42" s="52">
        <f>B38+B41+B37</f>
        <v>178500</v>
      </c>
      <c r="C42" s="5"/>
      <c r="D42" s="5"/>
      <c r="E42" s="5"/>
      <c r="F42" s="55"/>
      <c r="G42" s="55" t="s">
        <v>75</v>
      </c>
      <c r="H42" s="55" t="s">
        <v>76</v>
      </c>
      <c r="I42" s="55" t="s">
        <v>77</v>
      </c>
      <c r="J42" s="5"/>
      <c r="K42" s="5"/>
      <c r="L42" s="5"/>
    </row>
    <row r="43">
      <c r="A43" s="50" t="s">
        <v>17</v>
      </c>
      <c r="B43" s="52">
        <f>IFERROR(B40*(B34/12)/(1-(1+B34/12)^(-B35*12)),0)</f>
        <v>4524.056967</v>
      </c>
      <c r="C43" s="5"/>
      <c r="D43" s="5"/>
      <c r="E43" s="5"/>
      <c r="F43" s="20" t="s">
        <v>78</v>
      </c>
      <c r="G43" s="56"/>
      <c r="H43" s="56"/>
      <c r="I43" s="56"/>
      <c r="J43" s="5"/>
      <c r="K43" s="5"/>
      <c r="L43" s="5"/>
    </row>
    <row r="44">
      <c r="A44" s="50" t="s">
        <v>21</v>
      </c>
      <c r="B44" s="52">
        <f>B43*12</f>
        <v>54288.68361</v>
      </c>
      <c r="C44" s="5"/>
      <c r="D44" s="5"/>
      <c r="E44" s="5"/>
      <c r="F44" s="8" t="s">
        <v>79</v>
      </c>
      <c r="G44" s="26">
        <f>D87</f>
        <v>52952.5</v>
      </c>
      <c r="H44" s="26">
        <f>D87</f>
        <v>52952.5</v>
      </c>
      <c r="I44" s="26">
        <f>D87</f>
        <v>52952.5</v>
      </c>
      <c r="J44" s="5"/>
      <c r="K44" s="5"/>
      <c r="L44" s="5"/>
    </row>
    <row r="45">
      <c r="A45" s="19" t="s">
        <v>80</v>
      </c>
      <c r="B45" s="2"/>
      <c r="C45" s="2"/>
      <c r="D45" s="3"/>
      <c r="E45" s="5"/>
      <c r="F45" s="8" t="s">
        <v>81</v>
      </c>
      <c r="G45" s="57" t="str">
        <f>B56</f>
        <v/>
      </c>
      <c r="H45" s="57" t="str">
        <f>B57</f>
        <v/>
      </c>
      <c r="I45" s="58"/>
      <c r="J45" s="5"/>
      <c r="K45" s="5"/>
      <c r="L45" s="5"/>
    </row>
    <row r="46">
      <c r="A46" s="22" t="s">
        <v>82</v>
      </c>
      <c r="B46" s="43">
        <v>178000.0</v>
      </c>
      <c r="C46" s="36"/>
      <c r="D46" s="5"/>
      <c r="E46" s="5"/>
      <c r="F46" s="59" t="s">
        <v>83</v>
      </c>
      <c r="G46" s="60" t="str">
        <f>G44/G45</f>
        <v>#DIV/0!</v>
      </c>
      <c r="H46" s="60" t="str">
        <f>G44/H45</f>
        <v>#DIV/0!</v>
      </c>
      <c r="I46" s="60" t="str">
        <f>G44/I45</f>
        <v>#DIV/0!</v>
      </c>
      <c r="J46" s="5"/>
      <c r="K46" s="5"/>
      <c r="L46" s="5"/>
    </row>
    <row r="47">
      <c r="A47" s="22" t="s">
        <v>84</v>
      </c>
      <c r="B47" s="43">
        <v>0.0</v>
      </c>
      <c r="C47" s="36"/>
      <c r="D47" s="5"/>
      <c r="E47" s="5"/>
      <c r="F47" s="8" t="s">
        <v>85</v>
      </c>
      <c r="G47" s="26">
        <f>B32</f>
        <v>850000</v>
      </c>
      <c r="H47" s="26">
        <f>B32</f>
        <v>850000</v>
      </c>
      <c r="I47" s="26">
        <f>B32</f>
        <v>850000</v>
      </c>
      <c r="J47" s="5"/>
      <c r="K47" s="5"/>
      <c r="L47" s="5"/>
    </row>
    <row r="48">
      <c r="A48" s="22" t="s">
        <v>86</v>
      </c>
      <c r="B48" s="46">
        <v>0.08</v>
      </c>
      <c r="C48" s="36"/>
      <c r="D48" s="5"/>
      <c r="E48" s="5"/>
      <c r="F48" s="44" t="s">
        <v>87</v>
      </c>
      <c r="G48" s="45" t="str">
        <f t="shared" ref="G48:I48" si="10">G46-G47</f>
        <v>#DIV/0!</v>
      </c>
      <c r="H48" s="45" t="str">
        <f t="shared" si="10"/>
        <v>#DIV/0!</v>
      </c>
      <c r="I48" s="45" t="str">
        <f t="shared" si="10"/>
        <v>#DIV/0!</v>
      </c>
      <c r="J48" s="5"/>
      <c r="K48" s="5"/>
      <c r="L48" s="5"/>
    </row>
    <row r="49">
      <c r="A49" s="22" t="s">
        <v>88</v>
      </c>
      <c r="B49" s="46">
        <v>0.2</v>
      </c>
      <c r="C49" s="36"/>
      <c r="D49" s="5"/>
      <c r="E49" s="5"/>
      <c r="F49" s="20" t="s">
        <v>89</v>
      </c>
      <c r="G49" s="56"/>
      <c r="H49" s="56"/>
      <c r="I49" s="56"/>
      <c r="J49" s="5"/>
      <c r="K49" s="5"/>
      <c r="L49" s="5"/>
    </row>
    <row r="50">
      <c r="A50" s="22" t="s">
        <v>90</v>
      </c>
      <c r="B50" s="46">
        <v>0.8</v>
      </c>
      <c r="C50" s="36"/>
      <c r="D50" s="5"/>
      <c r="E50" s="5"/>
      <c r="F50" s="5"/>
      <c r="G50" s="5"/>
      <c r="H50" s="5"/>
      <c r="I50" s="5"/>
      <c r="J50" s="5"/>
      <c r="K50" s="5"/>
      <c r="L50" s="5"/>
    </row>
    <row r="51">
      <c r="A51" s="19" t="s">
        <v>91</v>
      </c>
      <c r="B51" s="2"/>
      <c r="C51" s="2"/>
      <c r="D51" s="3"/>
      <c r="E51" s="5"/>
      <c r="F51" s="61" t="s">
        <v>92</v>
      </c>
      <c r="G51" s="62">
        <f>IFERROR(B43*(1-(1+B34/12)^(-(B35*12-60)))/(B34/12),0)</f>
        <v>640094.811</v>
      </c>
      <c r="H51" s="62">
        <f>IFERROR(B43*(1-(1+B34/12)^(-(B35*12-60)))/(B34/12),0)</f>
        <v>640094.811</v>
      </c>
      <c r="I51" s="62">
        <f>IFERROR(B43*(1-(1+B34/12)^(-(B35*12-60)))/(B34/12),0)</f>
        <v>640094.811</v>
      </c>
      <c r="J51" s="5"/>
      <c r="K51" s="5"/>
      <c r="L51" s="5"/>
    </row>
    <row r="52">
      <c r="A52" s="22" t="s">
        <v>93</v>
      </c>
      <c r="B52" s="39"/>
      <c r="C52" s="36"/>
      <c r="D52" s="5"/>
      <c r="E52" s="5"/>
      <c r="F52" s="59" t="s">
        <v>94</v>
      </c>
      <c r="G52" s="63" t="str">
        <f>G46-G51</f>
        <v>#DIV/0!</v>
      </c>
      <c r="H52" s="63" t="str">
        <f>H46-G51</f>
        <v>#DIV/0!</v>
      </c>
      <c r="I52" s="63" t="str">
        <f>I46-G51</f>
        <v>#DIV/0!</v>
      </c>
      <c r="J52" s="5"/>
      <c r="K52" s="5"/>
      <c r="L52" s="5"/>
    </row>
    <row r="53">
      <c r="A53" s="22" t="s">
        <v>95</v>
      </c>
      <c r="B53" s="39"/>
      <c r="C53" s="36"/>
      <c r="D53" s="5"/>
      <c r="E53" s="5"/>
      <c r="F53" s="20" t="s">
        <v>96</v>
      </c>
      <c r="G53" s="56"/>
      <c r="H53" s="56"/>
      <c r="I53" s="56"/>
      <c r="J53" s="5"/>
      <c r="K53" s="5"/>
      <c r="L53" s="5"/>
    </row>
    <row r="54">
      <c r="A54" s="22" t="s">
        <v>97</v>
      </c>
      <c r="B54" s="39"/>
      <c r="C54" s="36"/>
      <c r="D54" s="5"/>
      <c r="E54" s="5"/>
      <c r="F54" s="5"/>
      <c r="G54" s="5"/>
      <c r="H54" s="5"/>
      <c r="I54" s="5"/>
      <c r="J54" s="5"/>
      <c r="K54" s="5"/>
      <c r="L54" s="5"/>
    </row>
    <row r="55">
      <c r="A55" s="22" t="s">
        <v>98</v>
      </c>
      <c r="B55" s="38"/>
      <c r="C55" s="36"/>
      <c r="D55" s="5"/>
      <c r="E55" s="5"/>
      <c r="F55" s="10" t="s">
        <v>99</v>
      </c>
      <c r="G55" s="34" t="str">
        <f t="shared" ref="G55:I55" si="11">G46*0.7</f>
        <v>#DIV/0!</v>
      </c>
      <c r="H55" s="34" t="str">
        <f t="shared" si="11"/>
        <v>#DIV/0!</v>
      </c>
      <c r="I55" s="34" t="str">
        <f t="shared" si="11"/>
        <v>#DIV/0!</v>
      </c>
      <c r="J55" s="5"/>
      <c r="K55" s="5"/>
      <c r="L55" s="5"/>
    </row>
    <row r="56">
      <c r="A56" s="22" t="s">
        <v>100</v>
      </c>
      <c r="B56" s="38"/>
      <c r="C56" s="36"/>
      <c r="D56" s="5"/>
      <c r="E56" s="5"/>
      <c r="F56" s="10" t="s">
        <v>101</v>
      </c>
      <c r="G56" s="34" t="str">
        <f t="shared" ref="G56:I56" si="12">G46*0.75</f>
        <v>#DIV/0!</v>
      </c>
      <c r="H56" s="34" t="str">
        <f t="shared" si="12"/>
        <v>#DIV/0!</v>
      </c>
      <c r="I56" s="34" t="str">
        <f t="shared" si="12"/>
        <v>#DIV/0!</v>
      </c>
      <c r="J56" s="5"/>
      <c r="K56" s="5"/>
      <c r="L56" s="5"/>
    </row>
    <row r="57">
      <c r="A57" s="22" t="s">
        <v>102</v>
      </c>
      <c r="B57" s="38"/>
      <c r="C57" s="36"/>
      <c r="D57" s="5"/>
      <c r="E57" s="5"/>
      <c r="F57" s="10" t="s">
        <v>103</v>
      </c>
      <c r="G57" s="34" t="str">
        <f t="shared" ref="G57:I57" si="13">G46*0.8</f>
        <v>#DIV/0!</v>
      </c>
      <c r="H57" s="34" t="str">
        <f t="shared" si="13"/>
        <v>#DIV/0!</v>
      </c>
      <c r="I57" s="34" t="str">
        <f t="shared" si="13"/>
        <v>#DIV/0!</v>
      </c>
      <c r="J57" s="5"/>
      <c r="K57" s="5"/>
      <c r="L57" s="5"/>
    </row>
    <row r="58">
      <c r="A58" s="22" t="s">
        <v>104</v>
      </c>
      <c r="B58" s="30"/>
      <c r="C58" s="36"/>
      <c r="D58" s="5"/>
      <c r="E58" s="5"/>
      <c r="F58" s="5"/>
      <c r="G58" s="5"/>
      <c r="H58" s="5"/>
      <c r="I58" s="5"/>
      <c r="J58" s="5"/>
      <c r="K58" s="5"/>
      <c r="L58" s="5"/>
    </row>
    <row r="59">
      <c r="A59" s="5"/>
      <c r="B59" s="5"/>
      <c r="C59" s="5"/>
      <c r="D59" s="5"/>
      <c r="E59" s="5"/>
      <c r="F59" s="44" t="s">
        <v>105</v>
      </c>
      <c r="G59" s="45" t="str">
        <f>G55-G51</f>
        <v>#DIV/0!</v>
      </c>
      <c r="H59" s="45" t="str">
        <f>H55-G51</f>
        <v>#DIV/0!</v>
      </c>
      <c r="I59" s="45" t="str">
        <f>I55-G51</f>
        <v>#DIV/0!</v>
      </c>
      <c r="J59" s="5"/>
      <c r="K59" s="5"/>
      <c r="L59" s="5"/>
    </row>
    <row r="60">
      <c r="A60" s="18" t="s">
        <v>106</v>
      </c>
      <c r="B60" s="2"/>
      <c r="C60" s="2"/>
      <c r="D60" s="3"/>
      <c r="E60" s="5"/>
      <c r="F60" s="44" t="s">
        <v>107</v>
      </c>
      <c r="G60" s="45" t="str">
        <f>G56-G51</f>
        <v>#DIV/0!</v>
      </c>
      <c r="H60" s="45" t="str">
        <f>H56-G51</f>
        <v>#DIV/0!</v>
      </c>
      <c r="I60" s="45" t="str">
        <f>I56-G51</f>
        <v>#DIV/0!</v>
      </c>
      <c r="J60" s="5"/>
      <c r="K60" s="5"/>
      <c r="L60" s="5"/>
    </row>
    <row r="61">
      <c r="A61" s="5"/>
      <c r="B61" s="5"/>
      <c r="C61" s="5"/>
      <c r="D61" s="5"/>
      <c r="E61" s="5"/>
      <c r="F61" s="44" t="s">
        <v>108</v>
      </c>
      <c r="G61" s="45" t="str">
        <f>G57-G51</f>
        <v>#DIV/0!</v>
      </c>
      <c r="H61" s="45" t="str">
        <f>H57-G51</f>
        <v>#DIV/0!</v>
      </c>
      <c r="I61" s="45" t="str">
        <f>I57-G51</f>
        <v>#DIV/0!</v>
      </c>
      <c r="J61" s="5"/>
      <c r="K61" s="5"/>
      <c r="L61" s="5"/>
    </row>
    <row r="62">
      <c r="A62" s="55"/>
      <c r="B62" s="55" t="s">
        <v>34</v>
      </c>
      <c r="C62" s="55" t="s">
        <v>35</v>
      </c>
      <c r="D62" s="64" t="s">
        <v>109</v>
      </c>
      <c r="E62" s="5"/>
      <c r="F62" s="40" t="s">
        <v>110</v>
      </c>
      <c r="G62" s="65"/>
      <c r="H62" s="65"/>
      <c r="I62" s="65"/>
      <c r="J62" s="5"/>
      <c r="K62" s="5"/>
      <c r="L62" s="5"/>
    </row>
    <row r="63">
      <c r="A63" s="22" t="s">
        <v>111</v>
      </c>
      <c r="B63" s="66">
        <v>110775.0</v>
      </c>
      <c r="C63" s="66">
        <v>110775.0</v>
      </c>
      <c r="D63" s="67">
        <f>B63+B52*12*B26*B28</f>
        <v>110775</v>
      </c>
      <c r="E63" s="5"/>
      <c r="F63" s="5"/>
      <c r="G63" s="5"/>
      <c r="H63" s="5"/>
      <c r="I63" s="5"/>
      <c r="J63" s="5"/>
      <c r="K63" s="5"/>
      <c r="L63" s="5"/>
    </row>
    <row r="64">
      <c r="A64" s="68" t="s">
        <v>112</v>
      </c>
      <c r="B64" s="67">
        <f t="shared" ref="B64:D64" si="14">-B63*0.1</f>
        <v>-11077.5</v>
      </c>
      <c r="C64" s="67">
        <f t="shared" si="14"/>
        <v>-11077.5</v>
      </c>
      <c r="D64" s="67">
        <f t="shared" si="14"/>
        <v>-11077.5</v>
      </c>
      <c r="E64" s="5"/>
      <c r="F64" s="61" t="s">
        <v>113</v>
      </c>
      <c r="G64" s="69">
        <f>B46</f>
        <v>178000</v>
      </c>
      <c r="H64" s="69">
        <f>B46</f>
        <v>178000</v>
      </c>
      <c r="I64" s="69">
        <f>B46</f>
        <v>178000</v>
      </c>
      <c r="J64" s="5"/>
      <c r="K64" s="5"/>
      <c r="L64" s="5"/>
    </row>
    <row r="65">
      <c r="A65" s="68" t="s">
        <v>114</v>
      </c>
      <c r="B65" s="66">
        <v>0.0</v>
      </c>
      <c r="C65" s="66">
        <v>0.0</v>
      </c>
      <c r="D65" s="66">
        <v>0.0</v>
      </c>
      <c r="E65" s="5"/>
      <c r="F65" s="10" t="s">
        <v>115</v>
      </c>
      <c r="G65" s="34" t="str">
        <f t="shared" ref="G65:I65" si="15">G59</f>
        <v>#DIV/0!</v>
      </c>
      <c r="H65" s="34" t="str">
        <f t="shared" si="15"/>
        <v>#DIV/0!</v>
      </c>
      <c r="I65" s="34" t="str">
        <f t="shared" si="15"/>
        <v>#DIV/0!</v>
      </c>
      <c r="J65" s="5"/>
      <c r="K65" s="5"/>
      <c r="L65" s="5"/>
    </row>
    <row r="66">
      <c r="A66" s="68" t="s">
        <v>116</v>
      </c>
      <c r="B66" s="67"/>
      <c r="C66" s="70" t="str">
        <f>B53</f>
        <v/>
      </c>
      <c r="D66" s="70" t="str">
        <f>B53</f>
        <v/>
      </c>
      <c r="E66" s="5"/>
      <c r="F66" s="44" t="s">
        <v>117</v>
      </c>
      <c r="G66" s="45" t="str">
        <f>G65-G64</f>
        <v>#DIV/0!</v>
      </c>
      <c r="H66" s="45" t="str">
        <f>H65-G64</f>
        <v>#DIV/0!</v>
      </c>
      <c r="I66" s="45" t="str">
        <f>I65-G64</f>
        <v>#DIV/0!</v>
      </c>
      <c r="J66" s="5"/>
      <c r="K66" s="5"/>
      <c r="L66" s="5"/>
    </row>
    <row r="67">
      <c r="A67" s="68" t="s">
        <v>118</v>
      </c>
      <c r="B67" s="67"/>
      <c r="C67" s="70">
        <f>B54*12*B26*B28</f>
        <v>0</v>
      </c>
      <c r="D67" s="70">
        <f>B54*12*B26*B28</f>
        <v>0</v>
      </c>
      <c r="E67" s="5"/>
      <c r="F67" s="10" t="s">
        <v>119</v>
      </c>
      <c r="G67" s="34" t="str">
        <f t="shared" ref="G67:I67" si="16">G60</f>
        <v>#DIV/0!</v>
      </c>
      <c r="H67" s="34" t="str">
        <f t="shared" si="16"/>
        <v>#DIV/0!</v>
      </c>
      <c r="I67" s="34" t="str">
        <f t="shared" si="16"/>
        <v>#DIV/0!</v>
      </c>
      <c r="J67" s="5"/>
      <c r="K67" s="5"/>
      <c r="L67" s="5"/>
    </row>
    <row r="68">
      <c r="A68" s="20" t="s">
        <v>120</v>
      </c>
      <c r="B68" s="37">
        <f t="shared" ref="B68:D68" si="17">SUM(B63:B67)</f>
        <v>99697.5</v>
      </c>
      <c r="C68" s="37">
        <f t="shared" si="17"/>
        <v>99697.5</v>
      </c>
      <c r="D68" s="37">
        <f t="shared" si="17"/>
        <v>99697.5</v>
      </c>
      <c r="E68" s="5"/>
      <c r="F68" s="44" t="s">
        <v>121</v>
      </c>
      <c r="G68" s="45" t="str">
        <f>G67-G64</f>
        <v>#DIV/0!</v>
      </c>
      <c r="H68" s="45" t="str">
        <f>H67-G64</f>
        <v>#DIV/0!</v>
      </c>
      <c r="I68" s="45" t="str">
        <f>I67-G64</f>
        <v>#DIV/0!</v>
      </c>
      <c r="J68" s="5"/>
      <c r="K68" s="5"/>
      <c r="L68" s="5"/>
    </row>
    <row r="69">
      <c r="A69" s="20" t="s">
        <v>122</v>
      </c>
      <c r="B69" s="56"/>
      <c r="C69" s="56"/>
      <c r="D69" s="56"/>
      <c r="E69" s="5"/>
      <c r="F69" s="10" t="s">
        <v>123</v>
      </c>
      <c r="G69" s="34" t="str">
        <f t="shared" ref="G69:I69" si="18">G61</f>
        <v>#DIV/0!</v>
      </c>
      <c r="H69" s="34" t="str">
        <f t="shared" si="18"/>
        <v>#DIV/0!</v>
      </c>
      <c r="I69" s="34" t="str">
        <f t="shared" si="18"/>
        <v>#DIV/0!</v>
      </c>
      <c r="J69" s="5"/>
      <c r="K69" s="5"/>
      <c r="L69" s="5"/>
    </row>
    <row r="70">
      <c r="A70" s="68" t="s">
        <v>124</v>
      </c>
      <c r="B70" s="66">
        <v>7560.0</v>
      </c>
      <c r="C70" s="66">
        <v>7560.0</v>
      </c>
      <c r="D70" s="66">
        <v>7560.0</v>
      </c>
      <c r="E70" s="5"/>
      <c r="F70" s="44" t="s">
        <v>125</v>
      </c>
      <c r="G70" s="45" t="str">
        <f>G69-G64</f>
        <v>#DIV/0!</v>
      </c>
      <c r="H70" s="45" t="str">
        <f>H69-G64</f>
        <v>#DIV/0!</v>
      </c>
      <c r="I70" s="45" t="str">
        <f>I69-G64</f>
        <v>#DIV/0!</v>
      </c>
      <c r="J70" s="5"/>
      <c r="K70" s="5"/>
      <c r="L70" s="5"/>
    </row>
    <row r="71">
      <c r="A71" s="68" t="s">
        <v>126</v>
      </c>
      <c r="B71" s="66">
        <v>5544.0</v>
      </c>
      <c r="C71" s="66">
        <v>5544.0</v>
      </c>
      <c r="D71" s="66">
        <v>5544.0</v>
      </c>
      <c r="E71" s="5"/>
      <c r="F71" s="48" t="s">
        <v>127</v>
      </c>
      <c r="G71" s="49"/>
      <c r="H71" s="49"/>
      <c r="I71" s="49"/>
      <c r="J71" s="5"/>
      <c r="K71" s="5"/>
      <c r="L71" s="5"/>
    </row>
    <row r="72">
      <c r="A72" s="68" t="s">
        <v>128</v>
      </c>
      <c r="B72" s="67"/>
      <c r="C72" s="67"/>
      <c r="D72" s="67"/>
      <c r="E72" s="5"/>
      <c r="F72" s="5"/>
      <c r="G72" s="5"/>
      <c r="H72" s="5"/>
      <c r="I72" s="5"/>
      <c r="J72" s="5"/>
      <c r="K72" s="5"/>
      <c r="L72" s="5"/>
    </row>
    <row r="73">
      <c r="A73" s="68" t="s">
        <v>129</v>
      </c>
      <c r="B73" s="66">
        <v>11906.0</v>
      </c>
      <c r="C73" s="66">
        <v>11906.0</v>
      </c>
      <c r="D73" s="66">
        <v>11906.0</v>
      </c>
      <c r="E73" s="5"/>
      <c r="F73" s="44" t="s">
        <v>130</v>
      </c>
      <c r="G73" s="71">
        <f>I36</f>
        <v>-62304.73443</v>
      </c>
      <c r="H73" s="71">
        <f>I36</f>
        <v>-62304.73443</v>
      </c>
      <c r="I73" s="71">
        <f>I36</f>
        <v>-62304.73443</v>
      </c>
      <c r="J73" s="5"/>
      <c r="K73" s="5"/>
      <c r="L73" s="5"/>
    </row>
    <row r="74">
      <c r="A74" s="68" t="s">
        <v>131</v>
      </c>
      <c r="B74" s="66">
        <v>0.0</v>
      </c>
      <c r="C74" s="66">
        <v>0.0</v>
      </c>
      <c r="D74" s="66">
        <v>0.0</v>
      </c>
      <c r="E74" s="5"/>
      <c r="F74" s="59" t="s">
        <v>132</v>
      </c>
      <c r="G74" s="63" t="str">
        <f>MAX(G60-G64,0)</f>
        <v>#DIV/0!</v>
      </c>
      <c r="H74" s="63" t="str">
        <f>MAX(H60-G64,0)</f>
        <v>#DIV/0!</v>
      </c>
      <c r="I74" s="63" t="str">
        <f>MAX(I60-G64,0)</f>
        <v>#DIV/0!</v>
      </c>
      <c r="J74" s="5"/>
      <c r="K74" s="5"/>
      <c r="L74" s="5"/>
    </row>
    <row r="75">
      <c r="A75" s="68" t="s">
        <v>133</v>
      </c>
      <c r="B75" s="66">
        <v>900.0</v>
      </c>
      <c r="C75" s="66">
        <v>900.0</v>
      </c>
      <c r="D75" s="66">
        <v>900.0</v>
      </c>
      <c r="E75" s="5"/>
      <c r="F75" s="72" t="s">
        <v>134</v>
      </c>
      <c r="G75" s="73" t="str">
        <f>G73+G74</f>
        <v>#DIV/0!</v>
      </c>
      <c r="H75" s="73" t="str">
        <f>G73+H74</f>
        <v>#DIV/0!</v>
      </c>
      <c r="I75" s="73" t="str">
        <f>G73+I74</f>
        <v>#DIV/0!</v>
      </c>
      <c r="J75" s="5"/>
      <c r="K75" s="5"/>
      <c r="L75" s="5"/>
    </row>
    <row r="76">
      <c r="A76" s="68" t="s">
        <v>135</v>
      </c>
      <c r="B76" s="66">
        <v>0.0</v>
      </c>
      <c r="C76" s="66">
        <v>0.0</v>
      </c>
      <c r="D76" s="66">
        <v>0.0</v>
      </c>
      <c r="E76" s="5"/>
      <c r="F76" s="44" t="s">
        <v>136</v>
      </c>
      <c r="G76" s="74" t="str">
        <f>G75/B47</f>
        <v>#DIV/0!</v>
      </c>
      <c r="H76" s="74" t="str">
        <f>G75/B47</f>
        <v>#DIV/0!</v>
      </c>
      <c r="I76" s="74" t="str">
        <f>G75/B47</f>
        <v>#DIV/0!</v>
      </c>
      <c r="J76" s="5"/>
      <c r="K76" s="5"/>
      <c r="L76" s="5"/>
    </row>
    <row r="77">
      <c r="A77" s="68" t="s">
        <v>137</v>
      </c>
      <c r="B77" s="66">
        <v>5209.0</v>
      </c>
      <c r="C77" s="66">
        <v>5209.0</v>
      </c>
      <c r="D77" s="66">
        <v>5209.0</v>
      </c>
      <c r="E77" s="5"/>
      <c r="F77" s="75" t="s">
        <v>138</v>
      </c>
      <c r="G77" s="2"/>
      <c r="H77" s="2"/>
      <c r="I77" s="3"/>
      <c r="J77" s="5"/>
      <c r="K77" s="5"/>
      <c r="L77" s="5"/>
    </row>
    <row r="78">
      <c r="A78" s="68" t="s">
        <v>139</v>
      </c>
      <c r="B78" s="76">
        <v>11207.0</v>
      </c>
      <c r="C78" s="66">
        <v>11207.0</v>
      </c>
      <c r="D78" s="66">
        <v>11207.0</v>
      </c>
      <c r="E78" s="77" t="s">
        <v>140</v>
      </c>
      <c r="F78" s="5"/>
      <c r="G78" s="5"/>
      <c r="H78" s="5"/>
      <c r="I78" s="5"/>
      <c r="J78" s="5"/>
      <c r="K78" s="5"/>
      <c r="L78" s="5"/>
    </row>
    <row r="79">
      <c r="A79" s="68" t="s">
        <v>141</v>
      </c>
      <c r="B79" s="66">
        <v>0.0</v>
      </c>
      <c r="C79" s="66">
        <v>0.0</v>
      </c>
      <c r="D79" s="66">
        <v>0.0</v>
      </c>
      <c r="E79" s="5"/>
      <c r="F79" s="5"/>
      <c r="G79" s="5"/>
      <c r="H79" s="5"/>
      <c r="I79" s="5"/>
      <c r="J79" s="5"/>
      <c r="K79" s="5"/>
      <c r="L79" s="5"/>
    </row>
    <row r="80">
      <c r="A80" s="68" t="s">
        <v>142</v>
      </c>
      <c r="B80" s="66">
        <v>2794.0</v>
      </c>
      <c r="C80" s="66">
        <v>2794.0</v>
      </c>
      <c r="D80" s="66">
        <v>2794.0</v>
      </c>
      <c r="E80" s="5"/>
      <c r="F80" s="5"/>
      <c r="G80" s="5"/>
      <c r="H80" s="5"/>
      <c r="I80" s="5"/>
      <c r="J80" s="5"/>
      <c r="K80" s="5"/>
      <c r="L80" s="5"/>
    </row>
    <row r="81">
      <c r="A81" s="68" t="s">
        <v>143</v>
      </c>
      <c r="B81" s="66">
        <v>1625.0</v>
      </c>
      <c r="C81" s="66">
        <v>1625.0</v>
      </c>
      <c r="D81" s="66">
        <v>1625.0</v>
      </c>
      <c r="E81" s="5"/>
      <c r="F81" s="5"/>
      <c r="G81" s="5"/>
      <c r="H81" s="5"/>
      <c r="I81" s="5"/>
      <c r="J81" s="5"/>
      <c r="K81" s="5"/>
      <c r="L81" s="5"/>
    </row>
    <row r="82">
      <c r="A82" s="68" t="s">
        <v>144</v>
      </c>
      <c r="B82" s="66">
        <v>0.0</v>
      </c>
      <c r="C82" s="66">
        <v>0.0</v>
      </c>
      <c r="D82" s="66">
        <v>0.0</v>
      </c>
      <c r="E82" s="5"/>
      <c r="F82" s="5"/>
      <c r="G82" s="5"/>
      <c r="H82" s="5"/>
      <c r="I82" s="5"/>
      <c r="J82" s="5"/>
      <c r="K82" s="5"/>
      <c r="L82" s="5"/>
    </row>
    <row r="83">
      <c r="A83" s="68" t="s">
        <v>145</v>
      </c>
      <c r="B83" s="66">
        <v>0.0</v>
      </c>
      <c r="C83" s="66">
        <v>0.0</v>
      </c>
      <c r="D83" s="66">
        <v>0.0</v>
      </c>
      <c r="E83" s="5"/>
      <c r="F83" s="5"/>
      <c r="G83" s="5"/>
      <c r="H83" s="5"/>
      <c r="I83" s="5"/>
      <c r="J83" s="5"/>
      <c r="K83" s="5"/>
      <c r="L83" s="5"/>
    </row>
    <row r="84">
      <c r="A84" s="68" t="s">
        <v>146</v>
      </c>
      <c r="B84" s="66">
        <v>0.0</v>
      </c>
      <c r="C84" s="66">
        <v>0.0</v>
      </c>
      <c r="D84" s="66">
        <v>0.0</v>
      </c>
      <c r="E84" s="5"/>
      <c r="F84" s="5"/>
      <c r="G84" s="5"/>
      <c r="H84" s="5"/>
      <c r="I84" s="5"/>
      <c r="J84" s="5"/>
      <c r="K84" s="5"/>
      <c r="L84" s="5"/>
    </row>
    <row r="85">
      <c r="A85" s="61" t="s">
        <v>147</v>
      </c>
      <c r="B85" s="62">
        <f t="shared" ref="B85:D85" si="19">SUM(B70:B84)</f>
        <v>46745</v>
      </c>
      <c r="C85" s="62">
        <f t="shared" si="19"/>
        <v>46745</v>
      </c>
      <c r="D85" s="62">
        <f t="shared" si="19"/>
        <v>46745</v>
      </c>
      <c r="E85" s="5"/>
      <c r="F85" s="5"/>
      <c r="G85" s="5"/>
      <c r="H85" s="5"/>
      <c r="I85" s="5"/>
      <c r="J85" s="5"/>
      <c r="K85" s="5"/>
      <c r="L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</row>
    <row r="87">
      <c r="A87" s="72" t="s">
        <v>148</v>
      </c>
      <c r="B87" s="73">
        <f t="shared" ref="B87:D87" si="20">B68-B85</f>
        <v>52952.5</v>
      </c>
      <c r="C87" s="73">
        <f t="shared" si="20"/>
        <v>52952.5</v>
      </c>
      <c r="D87" s="73">
        <f t="shared" si="20"/>
        <v>52952.5</v>
      </c>
      <c r="E87" s="5"/>
      <c r="F87" s="5"/>
      <c r="G87" s="5"/>
      <c r="H87" s="5"/>
      <c r="I87" s="5"/>
      <c r="J87" s="5"/>
      <c r="K87" s="5"/>
      <c r="L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>
      <c r="A89" s="20" t="s">
        <v>149</v>
      </c>
      <c r="B89" s="56"/>
      <c r="C89" s="56"/>
      <c r="D89" s="56"/>
      <c r="E89" s="5"/>
      <c r="F89" s="5"/>
      <c r="G89" s="5"/>
      <c r="H89" s="5"/>
      <c r="I89" s="5"/>
      <c r="J89" s="5"/>
      <c r="K89" s="5"/>
      <c r="L89" s="5"/>
    </row>
    <row r="90">
      <c r="A90" s="68" t="s">
        <v>21</v>
      </c>
      <c r="B90" s="70">
        <f>B44</f>
        <v>54288.68361</v>
      </c>
      <c r="C90" s="70">
        <f>B44</f>
        <v>54288.68361</v>
      </c>
      <c r="D90" s="70">
        <f>B44</f>
        <v>54288.68361</v>
      </c>
      <c r="E90" s="5"/>
      <c r="F90" s="5"/>
      <c r="G90" s="5"/>
      <c r="H90" s="5"/>
      <c r="I90" s="5"/>
      <c r="J90" s="5"/>
      <c r="K90" s="5"/>
      <c r="L90" s="5"/>
    </row>
    <row r="91">
      <c r="A91" s="78" t="s">
        <v>150</v>
      </c>
      <c r="B91" s="60">
        <f t="shared" ref="B91:D91" si="21">B87-B90</f>
        <v>-1336.183607</v>
      </c>
      <c r="C91" s="60">
        <f t="shared" si="21"/>
        <v>-1336.183607</v>
      </c>
      <c r="D91" s="60">
        <f t="shared" si="21"/>
        <v>-1336.183607</v>
      </c>
      <c r="E91" s="5"/>
      <c r="F91" s="5"/>
      <c r="G91" s="5"/>
      <c r="H91" s="5"/>
      <c r="I91" s="5"/>
      <c r="J91" s="5"/>
      <c r="K91" s="5"/>
      <c r="L91" s="5"/>
    </row>
    <row r="92">
      <c r="A92" s="59" t="s">
        <v>151</v>
      </c>
      <c r="B92" s="63">
        <f t="shared" ref="B92:D92" si="22">B91/12</f>
        <v>-111.3486339</v>
      </c>
      <c r="C92" s="63">
        <f t="shared" si="22"/>
        <v>-111.3486339</v>
      </c>
      <c r="D92" s="63">
        <f t="shared" si="22"/>
        <v>-111.3486339</v>
      </c>
      <c r="E92" s="5"/>
      <c r="F92" s="5"/>
      <c r="G92" s="5"/>
      <c r="H92" s="5"/>
      <c r="I92" s="5"/>
      <c r="J92" s="5"/>
      <c r="K92" s="5"/>
      <c r="L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</row>
    <row r="94">
      <c r="A94" s="20" t="s">
        <v>152</v>
      </c>
      <c r="B94" s="56"/>
      <c r="C94" s="56"/>
      <c r="D94" s="56"/>
      <c r="E94" s="5"/>
      <c r="F94" s="5"/>
      <c r="G94" s="5"/>
      <c r="H94" s="5"/>
      <c r="I94" s="5"/>
      <c r="J94" s="5"/>
      <c r="K94" s="5"/>
      <c r="L94" s="5"/>
    </row>
    <row r="95">
      <c r="A95" s="10" t="s">
        <v>153</v>
      </c>
      <c r="B95" s="79">
        <f>B87/B32</f>
        <v>0.06229705882</v>
      </c>
      <c r="C95" s="79">
        <f>C87/B32</f>
        <v>0.06229705882</v>
      </c>
      <c r="D95" s="79">
        <f>D87/B32</f>
        <v>0.06229705882</v>
      </c>
      <c r="E95" s="5"/>
      <c r="F95" s="5"/>
      <c r="G95" s="5"/>
      <c r="H95" s="5"/>
      <c r="I95" s="5"/>
      <c r="J95" s="5"/>
      <c r="K95" s="5"/>
      <c r="L95" s="5"/>
    </row>
    <row r="96">
      <c r="A96" s="10" t="s">
        <v>18</v>
      </c>
      <c r="B96" s="80">
        <f>B87/B44</f>
        <v>0.9753874377</v>
      </c>
      <c r="C96" s="80">
        <f>C87/B44</f>
        <v>0.9753874377</v>
      </c>
      <c r="D96" s="80">
        <f>D87/B44</f>
        <v>0.9753874377</v>
      </c>
      <c r="E96" s="5"/>
      <c r="F96" s="5"/>
      <c r="G96" s="5"/>
      <c r="H96" s="5"/>
      <c r="I96" s="5"/>
      <c r="J96" s="5"/>
      <c r="K96" s="5"/>
      <c r="L96" s="5"/>
    </row>
    <row r="97">
      <c r="A97" s="31" t="s">
        <v>154</v>
      </c>
      <c r="B97" s="79" t="str">
        <f>B91/B47</f>
        <v>#DIV/0!</v>
      </c>
      <c r="C97" s="79" t="str">
        <f>C91/B47</f>
        <v>#DIV/0!</v>
      </c>
      <c r="D97" s="79" t="str">
        <f>D91/B47</f>
        <v>#DIV/0!</v>
      </c>
      <c r="E97" s="5"/>
      <c r="F97" s="5"/>
      <c r="G97" s="5"/>
      <c r="H97" s="5"/>
      <c r="I97" s="5"/>
      <c r="J97" s="5"/>
      <c r="K97" s="5"/>
      <c r="L97" s="5"/>
    </row>
    <row r="98">
      <c r="A98" s="10" t="s">
        <v>155</v>
      </c>
      <c r="B98" s="79">
        <f>B91/B46</f>
        <v>-0.007506649475</v>
      </c>
      <c r="C98" s="79">
        <f>C91/B46</f>
        <v>-0.007506649475</v>
      </c>
      <c r="D98" s="79">
        <f>D91/B46</f>
        <v>-0.007506649475</v>
      </c>
      <c r="E98" s="5"/>
      <c r="F98" s="5"/>
      <c r="G98" s="5"/>
      <c r="H98" s="5"/>
      <c r="I98" s="5"/>
      <c r="J98" s="5"/>
      <c r="K98" s="5"/>
      <c r="L98" s="5"/>
    </row>
    <row r="99">
      <c r="A99" s="10" t="s">
        <v>8</v>
      </c>
      <c r="B99" s="34">
        <f>B32/B26</f>
        <v>70833.33333</v>
      </c>
      <c r="C99" s="34">
        <f>B32/B26</f>
        <v>70833.33333</v>
      </c>
      <c r="D99" s="34">
        <f>B32/B26</f>
        <v>70833.33333</v>
      </c>
      <c r="E99" s="5"/>
      <c r="F99" s="5"/>
      <c r="G99" s="5"/>
      <c r="H99" s="5"/>
      <c r="I99" s="5"/>
      <c r="J99" s="5"/>
      <c r="K99" s="5"/>
      <c r="L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</row>
    <row r="101">
      <c r="A101" s="18" t="s">
        <v>156</v>
      </c>
      <c r="B101" s="2"/>
      <c r="C101" s="2"/>
      <c r="D101" s="2"/>
      <c r="E101" s="2"/>
      <c r="F101" s="2"/>
      <c r="G101" s="2"/>
      <c r="H101" s="2"/>
      <c r="I101" s="3"/>
      <c r="J101" s="81"/>
      <c r="K101" s="81"/>
      <c r="L101" s="5"/>
    </row>
    <row r="102">
      <c r="A102" s="19" t="s">
        <v>157</v>
      </c>
      <c r="B102" s="2"/>
      <c r="C102" s="2"/>
      <c r="D102" s="2"/>
      <c r="E102" s="2"/>
      <c r="F102" s="2"/>
      <c r="G102" s="2"/>
      <c r="H102" s="2"/>
      <c r="I102" s="3"/>
      <c r="J102" s="81"/>
      <c r="K102" s="81"/>
      <c r="L102" s="5"/>
    </row>
    <row r="103">
      <c r="A103" s="40" t="s">
        <v>158</v>
      </c>
      <c r="B103" s="82" t="s">
        <v>159</v>
      </c>
      <c r="C103" s="83">
        <v>0.08</v>
      </c>
      <c r="D103" s="83">
        <v>0.085</v>
      </c>
      <c r="E103" s="83">
        <v>0.09</v>
      </c>
      <c r="F103" s="83">
        <v>0.095</v>
      </c>
      <c r="G103" s="83">
        <v>0.1</v>
      </c>
      <c r="H103" s="83">
        <v>0.105</v>
      </c>
      <c r="I103" s="83">
        <v>0.11</v>
      </c>
      <c r="J103" s="81"/>
      <c r="K103" s="81"/>
      <c r="L103" s="5"/>
    </row>
    <row r="104">
      <c r="A104" s="68" t="s">
        <v>160</v>
      </c>
      <c r="B104" s="70">
        <f>B87</f>
        <v>52952.5</v>
      </c>
      <c r="C104" s="67">
        <f t="shared" ref="C104:I104" si="23">$B104/C103</f>
        <v>661906.25</v>
      </c>
      <c r="D104" s="67">
        <f t="shared" si="23"/>
        <v>622970.5882</v>
      </c>
      <c r="E104" s="67">
        <f t="shared" si="23"/>
        <v>588361.1111</v>
      </c>
      <c r="F104" s="67">
        <f t="shared" si="23"/>
        <v>557394.7368</v>
      </c>
      <c r="G104" s="67">
        <f t="shared" si="23"/>
        <v>529525</v>
      </c>
      <c r="H104" s="67">
        <f t="shared" si="23"/>
        <v>504309.5238</v>
      </c>
      <c r="I104" s="67">
        <f t="shared" si="23"/>
        <v>481386.3636</v>
      </c>
      <c r="J104" s="81"/>
      <c r="K104" s="81"/>
      <c r="L104" s="5"/>
    </row>
    <row r="105">
      <c r="A105" s="68" t="s">
        <v>161</v>
      </c>
      <c r="B105" s="70">
        <f>C87</f>
        <v>52952.5</v>
      </c>
      <c r="C105" s="67">
        <f t="shared" ref="C105:I105" si="24">$B105/C103</f>
        <v>661906.25</v>
      </c>
      <c r="D105" s="67">
        <f t="shared" si="24"/>
        <v>622970.5882</v>
      </c>
      <c r="E105" s="67">
        <f t="shared" si="24"/>
        <v>588361.1111</v>
      </c>
      <c r="F105" s="67">
        <f t="shared" si="24"/>
        <v>557394.7368</v>
      </c>
      <c r="G105" s="67">
        <f t="shared" si="24"/>
        <v>529525</v>
      </c>
      <c r="H105" s="67">
        <f t="shared" si="24"/>
        <v>504309.5238</v>
      </c>
      <c r="I105" s="67">
        <f t="shared" si="24"/>
        <v>481386.3636</v>
      </c>
      <c r="J105" s="81"/>
      <c r="K105" s="81"/>
      <c r="L105" s="5"/>
    </row>
    <row r="106">
      <c r="A106" s="44" t="s">
        <v>162</v>
      </c>
      <c r="B106" s="84">
        <f>D87</f>
        <v>52952.5</v>
      </c>
      <c r="C106" s="85">
        <f t="shared" ref="C106:I106" si="25">$B106/C103</f>
        <v>661906.25</v>
      </c>
      <c r="D106" s="85">
        <f t="shared" si="25"/>
        <v>622970.5882</v>
      </c>
      <c r="E106" s="85">
        <f t="shared" si="25"/>
        <v>588361.1111</v>
      </c>
      <c r="F106" s="85">
        <f t="shared" si="25"/>
        <v>557394.7368</v>
      </c>
      <c r="G106" s="85">
        <f t="shared" si="25"/>
        <v>529525</v>
      </c>
      <c r="H106" s="85">
        <f t="shared" si="25"/>
        <v>504309.5238</v>
      </c>
      <c r="I106" s="85">
        <f t="shared" si="25"/>
        <v>481386.3636</v>
      </c>
      <c r="J106" s="81"/>
      <c r="K106" s="81"/>
      <c r="L106" s="5"/>
    </row>
    <row r="107">
      <c r="A107" s="68" t="s">
        <v>163</v>
      </c>
      <c r="B107" s="70">
        <f>D87*1.1</f>
        <v>58247.75</v>
      </c>
      <c r="C107" s="67">
        <f t="shared" ref="C107:I107" si="26">$B107/C103</f>
        <v>728096.875</v>
      </c>
      <c r="D107" s="67">
        <f t="shared" si="26"/>
        <v>685267.6471</v>
      </c>
      <c r="E107" s="67">
        <f t="shared" si="26"/>
        <v>647197.2222</v>
      </c>
      <c r="F107" s="67">
        <f t="shared" si="26"/>
        <v>613134.2105</v>
      </c>
      <c r="G107" s="67">
        <f t="shared" si="26"/>
        <v>582477.5</v>
      </c>
      <c r="H107" s="67">
        <f t="shared" si="26"/>
        <v>554740.4762</v>
      </c>
      <c r="I107" s="67">
        <f t="shared" si="26"/>
        <v>529525</v>
      </c>
      <c r="J107" s="81"/>
      <c r="K107" s="81"/>
      <c r="L107" s="5"/>
    </row>
    <row r="108">
      <c r="A108" s="68" t="s">
        <v>164</v>
      </c>
      <c r="B108" s="70">
        <f>D87*0.9</f>
        <v>47657.25</v>
      </c>
      <c r="C108" s="67">
        <f t="shared" ref="C108:I108" si="27">$B108/C103</f>
        <v>595715.625</v>
      </c>
      <c r="D108" s="67">
        <f t="shared" si="27"/>
        <v>560673.5294</v>
      </c>
      <c r="E108" s="67">
        <f t="shared" si="27"/>
        <v>529525</v>
      </c>
      <c r="F108" s="67">
        <f t="shared" si="27"/>
        <v>501655.2632</v>
      </c>
      <c r="G108" s="67">
        <f t="shared" si="27"/>
        <v>476572.5</v>
      </c>
      <c r="H108" s="67">
        <f t="shared" si="27"/>
        <v>453878.5714</v>
      </c>
      <c r="I108" s="67">
        <f t="shared" si="27"/>
        <v>433247.7273</v>
      </c>
      <c r="J108" s="81"/>
      <c r="K108" s="81"/>
      <c r="L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81"/>
      <c r="K109" s="81"/>
      <c r="L109" s="5"/>
    </row>
    <row r="110">
      <c r="A110" s="19" t="s">
        <v>165</v>
      </c>
      <c r="B110" s="2"/>
      <c r="C110" s="2"/>
      <c r="D110" s="2"/>
      <c r="E110" s="2"/>
      <c r="F110" s="2"/>
      <c r="G110" s="2"/>
      <c r="H110" s="2"/>
      <c r="I110" s="3"/>
      <c r="J110" s="81"/>
      <c r="K110" s="81"/>
      <c r="L110" s="5"/>
    </row>
    <row r="111">
      <c r="A111" s="40" t="s">
        <v>5</v>
      </c>
      <c r="B111" s="83">
        <v>0.06</v>
      </c>
      <c r="C111" s="83">
        <v>0.065</v>
      </c>
      <c r="D111" s="83">
        <v>0.07</v>
      </c>
      <c r="E111" s="83">
        <v>0.075</v>
      </c>
      <c r="F111" s="83">
        <v>0.08</v>
      </c>
      <c r="G111" s="83">
        <v>0.085</v>
      </c>
      <c r="H111" s="5"/>
      <c r="I111" s="5"/>
      <c r="J111" s="81"/>
      <c r="K111" s="81"/>
      <c r="L111" s="5"/>
    </row>
    <row r="112">
      <c r="A112" s="39"/>
      <c r="B112" s="67">
        <f>D87-(A112*(1-B33)*(B111/12)/(1-(1+B111/12)^(-B35*12))*12)</f>
        <v>52952.5</v>
      </c>
      <c r="C112" s="67">
        <f>D87-(A112*(1-B33)*(C111/12)/(1-(1+C111/12)^(-B35*12))*12)</f>
        <v>52952.5</v>
      </c>
      <c r="D112" s="67">
        <f>D87-(A112*(1-B33)*(D111/12)/(1-(1+D111/12)^(-B35*12))*12)</f>
        <v>52952.5</v>
      </c>
      <c r="E112" s="67">
        <f>D87-(A112*(1-B33)*(E111/12)/(1-(1+E111/12)^(-B35*12))*12)</f>
        <v>52952.5</v>
      </c>
      <c r="F112" s="67">
        <f>D87-(A112*(1-B33)*(F111/12)/(1-(1+F111/12)^(-B35*12))*12)</f>
        <v>52952.5</v>
      </c>
      <c r="G112" s="67">
        <f>D87-(A112*(1-B33)*(G111/12)/(1-(1+G111/12)^(-B35*12))*12)</f>
        <v>52952.5</v>
      </c>
      <c r="H112" s="5"/>
      <c r="I112" s="5"/>
      <c r="J112" s="81"/>
      <c r="K112" s="81"/>
      <c r="L112" s="5"/>
    </row>
    <row r="113">
      <c r="A113" s="39"/>
      <c r="B113" s="67">
        <f>D87-(A113*(1-B33)*(B111/12)/(1-(1+B111/12)^(-B35*12))*12)</f>
        <v>52952.5</v>
      </c>
      <c r="C113" s="67">
        <f>D87-(A113*(1-B33)*(C111/12)/(1-(1+C111/12)^(-B35*12))*12)</f>
        <v>52952.5</v>
      </c>
      <c r="D113" s="67">
        <f>D87-(A113*(1-B33)*(D111/12)/(1-(1+D111/12)^(-B35*12))*12)</f>
        <v>52952.5</v>
      </c>
      <c r="E113" s="67">
        <f>D87-(A113*(1-B33)*(E111/12)/(1-(1+E111/12)^(-B35*12))*12)</f>
        <v>52952.5</v>
      </c>
      <c r="F113" s="67">
        <f>D87-(A113*(1-B33)*(F111/12)/(1-(1+F111/12)^(-B35*12))*12)</f>
        <v>52952.5</v>
      </c>
      <c r="G113" s="67">
        <f>D87-(A113*(1-B33)*(G111/12)/(1-(1+G111/12)^(-B35*12))*12)</f>
        <v>52952.5</v>
      </c>
      <c r="H113" s="5"/>
      <c r="I113" s="5"/>
      <c r="J113" s="81"/>
      <c r="K113" s="81"/>
      <c r="L113" s="5"/>
    </row>
    <row r="114">
      <c r="A114" s="39"/>
      <c r="B114" s="67">
        <f>D87-(A114*(1-B33)*(B111/12)/(1-(1+B111/12)^(-B35*12))*12)</f>
        <v>52952.5</v>
      </c>
      <c r="C114" s="67">
        <f>D87-(A114*(1-B33)*(C111/12)/(1-(1+C111/12)^(-B35*12))*12)</f>
        <v>52952.5</v>
      </c>
      <c r="D114" s="67">
        <f>D87-(A114*(1-B33)*(D111/12)/(1-(1+D111/12)^(-B35*12))*12)</f>
        <v>52952.5</v>
      </c>
      <c r="E114" s="67">
        <f>D87-(A114*(1-B33)*(E111/12)/(1-(1+E111/12)^(-B35*12))*12)</f>
        <v>52952.5</v>
      </c>
      <c r="F114" s="67">
        <f>D87-(A114*(1-B33)*(F111/12)/(1-(1+F111/12)^(-B35*12))*12)</f>
        <v>52952.5</v>
      </c>
      <c r="G114" s="67">
        <f>D87-(A114*(1-B33)*(G111/12)/(1-(1+G111/12)^(-B35*12))*12)</f>
        <v>52952.5</v>
      </c>
      <c r="H114" s="5"/>
      <c r="I114" s="5"/>
      <c r="J114" s="81"/>
      <c r="K114" s="81"/>
      <c r="L114" s="5"/>
    </row>
    <row r="115">
      <c r="A115" s="39"/>
      <c r="B115" s="67">
        <f>D87-(A115*(1-B33)*(B111/12)/(1-(1+B111/12)^(-B35*12))*12)</f>
        <v>52952.5</v>
      </c>
      <c r="C115" s="67">
        <f>D87-(A115*(1-B33)*(C111/12)/(1-(1+C111/12)^(-B35*12))*12)</f>
        <v>52952.5</v>
      </c>
      <c r="D115" s="67">
        <f>D87-(A115*(1-B33)*(D111/12)/(1-(1+D111/12)^(-B35*12))*12)</f>
        <v>52952.5</v>
      </c>
      <c r="E115" s="67">
        <f>D87-(A115*(1-B33)*(E111/12)/(1-(1+E111/12)^(-B35*12))*12)</f>
        <v>52952.5</v>
      </c>
      <c r="F115" s="67">
        <f>D87-(A115*(1-B33)*(F111/12)/(1-(1+F111/12)^(-B35*12))*12)</f>
        <v>52952.5</v>
      </c>
      <c r="G115" s="67">
        <f>D87-(A115*(1-B33)*(G111/12)/(1-(1+G111/12)^(-B35*12))*12)</f>
        <v>52952.5</v>
      </c>
      <c r="H115" s="5"/>
      <c r="I115" s="5"/>
      <c r="J115" s="81"/>
      <c r="K115" s="81"/>
      <c r="L115" s="5"/>
    </row>
    <row r="116">
      <c r="A116" s="86"/>
      <c r="B116" s="45">
        <f>D87-(A116*(1-B33)*(B111/12)/(1-(1+B111/12)^(-B35*12))*12)</f>
        <v>52952.5</v>
      </c>
      <c r="C116" s="45">
        <f>D87-(A116*(1-B33)*(C111/12)/(1-(1+C111/12)^(-B35*12))*12)</f>
        <v>52952.5</v>
      </c>
      <c r="D116" s="45">
        <f>D87-(A116*(1-B33)*(D111/12)/(1-(1+D111/12)^(-B35*12))*12)</f>
        <v>52952.5</v>
      </c>
      <c r="E116" s="45">
        <f>D87-(A116*(1-B33)*(E111/12)/(1-(1+E111/12)^(-B35*12))*12)</f>
        <v>52952.5</v>
      </c>
      <c r="F116" s="45">
        <f>D87-(A116*(1-B33)*(F111/12)/(1-(1+F111/12)^(-B35*12))*12)</f>
        <v>52952.5</v>
      </c>
      <c r="G116" s="45">
        <f>D87-(A116*(1-B33)*(G111/12)/(1-(1+G111/12)^(-B35*12))*12)</f>
        <v>52952.5</v>
      </c>
      <c r="H116" s="5"/>
      <c r="I116" s="5"/>
      <c r="J116" s="81"/>
      <c r="K116" s="81"/>
      <c r="L116" s="5"/>
    </row>
    <row r="117">
      <c r="A117" s="39"/>
      <c r="B117" s="67">
        <f>D87-(A117*(1-B33)*(B111/12)/(1-(1+B111/12)^(-B35*12))*12)</f>
        <v>52952.5</v>
      </c>
      <c r="C117" s="67">
        <f>D87-(A117*(1-B33)*(C111/12)/(1-(1+C111/12)^(-B35*12))*12)</f>
        <v>52952.5</v>
      </c>
      <c r="D117" s="67">
        <f>D87-(A117*(1-B33)*(D111/12)/(1-(1+D111/12)^(-B35*12))*12)</f>
        <v>52952.5</v>
      </c>
      <c r="E117" s="67">
        <f>D87-(A117*(1-B33)*(E111/12)/(1-(1+E111/12)^(-B35*12))*12)</f>
        <v>52952.5</v>
      </c>
      <c r="F117" s="67">
        <f>D87-(A117*(1-B33)*(F111/12)/(1-(1+F111/12)^(-B35*12))*12)</f>
        <v>52952.5</v>
      </c>
      <c r="G117" s="67">
        <f>D87-(A117*(1-B33)*(G111/12)/(1-(1+G111/12)^(-B35*12))*12)</f>
        <v>52952.5</v>
      </c>
      <c r="H117" s="5"/>
      <c r="I117" s="5"/>
      <c r="J117" s="81"/>
      <c r="K117" s="81"/>
      <c r="L117" s="5"/>
    </row>
    <row r="118">
      <c r="A118" s="39"/>
      <c r="B118" s="67">
        <f>D87-(A118*(1-B33)*(B111/12)/(1-(1+B111/12)^(-B35*12))*12)</f>
        <v>52952.5</v>
      </c>
      <c r="C118" s="67">
        <f>D87-(A118*(1-B33)*(C111/12)/(1-(1+C111/12)^(-B35*12))*12)</f>
        <v>52952.5</v>
      </c>
      <c r="D118" s="67">
        <f>D87-(A118*(1-B33)*(D111/12)/(1-(1+D111/12)^(-B35*12))*12)</f>
        <v>52952.5</v>
      </c>
      <c r="E118" s="67">
        <f>D87-(A118*(1-B33)*(E111/12)/(1-(1+E111/12)^(-B35*12))*12)</f>
        <v>52952.5</v>
      </c>
      <c r="F118" s="67">
        <f>D87-(A118*(1-B33)*(F111/12)/(1-(1+F111/12)^(-B35*12))*12)</f>
        <v>52952.5</v>
      </c>
      <c r="G118" s="67">
        <f>D87-(A118*(1-B33)*(G111/12)/(1-(1+G111/12)^(-B35*12))*12)</f>
        <v>52952.5</v>
      </c>
      <c r="H118" s="5"/>
      <c r="I118" s="5"/>
      <c r="J118" s="81"/>
      <c r="K118" s="81"/>
      <c r="L118" s="5"/>
    </row>
    <row r="119">
      <c r="A119" s="39"/>
      <c r="B119" s="67">
        <f>D87-(A119*(1-B33)*(B111/12)/(1-(1+B111/12)^(-B35*12))*12)</f>
        <v>52952.5</v>
      </c>
      <c r="C119" s="67">
        <f>D87-(A119*(1-B33)*(C111/12)/(1-(1+C111/12)^(-B35*12))*12)</f>
        <v>52952.5</v>
      </c>
      <c r="D119" s="67">
        <f>D87-(A119*(1-B33)*(D111/12)/(1-(1+D111/12)^(-B35*12))*12)</f>
        <v>52952.5</v>
      </c>
      <c r="E119" s="67">
        <f>D87-(A119*(1-B33)*(E111/12)/(1-(1+E111/12)^(-B35*12))*12)</f>
        <v>52952.5</v>
      </c>
      <c r="F119" s="67">
        <f>D87-(A119*(1-B33)*(F111/12)/(1-(1+F111/12)^(-B35*12))*12)</f>
        <v>52952.5</v>
      </c>
      <c r="G119" s="67">
        <f>D87-(A119*(1-B33)*(G111/12)/(1-(1+G111/12)^(-B35*12))*12)</f>
        <v>52952.5</v>
      </c>
      <c r="H119" s="5"/>
      <c r="I119" s="5"/>
      <c r="J119" s="81"/>
      <c r="K119" s="81"/>
      <c r="L119" s="5"/>
    </row>
    <row r="120">
      <c r="A120" s="39"/>
      <c r="B120" s="67">
        <f>D87-(A120*(1-B33)*(B111/12)/(1-(1+B111/12)^(-B35*12))*12)</f>
        <v>52952.5</v>
      </c>
      <c r="C120" s="67">
        <f>D87-(A120*(1-B33)*(C111/12)/(1-(1+C111/12)^(-B35*12))*12)</f>
        <v>52952.5</v>
      </c>
      <c r="D120" s="67">
        <f>D87-(A120*(1-B33)*(D111/12)/(1-(1+D111/12)^(-B35*12))*12)</f>
        <v>52952.5</v>
      </c>
      <c r="E120" s="67">
        <f>D87-(A120*(1-B33)*(E111/12)/(1-(1+E111/12)^(-B35*12))*12)</f>
        <v>52952.5</v>
      </c>
      <c r="F120" s="67">
        <f>D87-(A120*(1-B33)*(F111/12)/(1-(1+F111/12)^(-B35*12))*12)</f>
        <v>52952.5</v>
      </c>
      <c r="G120" s="67">
        <f>D87-(A120*(1-B33)*(G111/12)/(1-(1+G111/12)^(-B35*12))*12)</f>
        <v>52952.5</v>
      </c>
      <c r="H120" s="5"/>
      <c r="I120" s="5"/>
      <c r="J120" s="81"/>
      <c r="K120" s="81"/>
      <c r="L120" s="5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5"/>
    </row>
    <row r="122">
      <c r="A122" s="87" t="s">
        <v>166</v>
      </c>
      <c r="B122" s="2"/>
      <c r="C122" s="2"/>
      <c r="D122" s="2"/>
      <c r="E122" s="2"/>
      <c r="F122" s="2"/>
      <c r="G122" s="2"/>
      <c r="H122" s="3"/>
      <c r="I122" s="81"/>
      <c r="J122" s="81"/>
      <c r="K122" s="81"/>
      <c r="L122" s="5"/>
    </row>
    <row r="123">
      <c r="A123" s="5"/>
      <c r="B123" s="5"/>
      <c r="C123" s="5"/>
      <c r="D123" s="5"/>
      <c r="E123" s="5"/>
      <c r="F123" s="5"/>
      <c r="G123" s="5"/>
      <c r="H123" s="5"/>
      <c r="I123" s="81"/>
      <c r="J123" s="81"/>
      <c r="K123" s="81"/>
      <c r="L123" s="5"/>
    </row>
    <row r="124">
      <c r="A124" s="88" t="s">
        <v>167</v>
      </c>
      <c r="B124" s="88" t="s">
        <v>168</v>
      </c>
      <c r="C124" s="88" t="s">
        <v>169</v>
      </c>
      <c r="D124" s="88" t="s">
        <v>170</v>
      </c>
      <c r="E124" s="88" t="s">
        <v>171</v>
      </c>
      <c r="F124" s="88" t="s">
        <v>172</v>
      </c>
      <c r="G124" s="88" t="s">
        <v>173</v>
      </c>
      <c r="H124" s="88" t="s">
        <v>174</v>
      </c>
      <c r="I124" s="81"/>
      <c r="J124" s="81"/>
      <c r="K124" s="81"/>
      <c r="L124" s="5"/>
    </row>
    <row r="125">
      <c r="A125" s="89">
        <v>1.0</v>
      </c>
      <c r="B125" s="89"/>
      <c r="C125" s="90"/>
      <c r="D125" s="90"/>
      <c r="E125" s="91"/>
      <c r="F125" s="92"/>
      <c r="G125" s="93" t="str">
        <f t="shared" ref="G125:G162" si="28">C125/F125</f>
        <v>#DIV/0!</v>
      </c>
      <c r="H125" s="93" t="str">
        <f t="shared" ref="H125:H162" si="29">D125/F125</f>
        <v>#DIV/0!</v>
      </c>
      <c r="I125" s="81"/>
      <c r="J125" s="81"/>
      <c r="K125" s="81"/>
      <c r="L125" s="5"/>
    </row>
    <row r="126">
      <c r="A126" s="94">
        <v>2.0</v>
      </c>
      <c r="B126" s="94"/>
      <c r="C126" s="67"/>
      <c r="D126" s="67"/>
      <c r="E126" s="67"/>
      <c r="F126" s="95"/>
      <c r="G126" s="96" t="str">
        <f t="shared" si="28"/>
        <v>#DIV/0!</v>
      </c>
      <c r="H126" s="96" t="str">
        <f t="shared" si="29"/>
        <v>#DIV/0!</v>
      </c>
      <c r="I126" s="81"/>
      <c r="J126" s="81"/>
      <c r="K126" s="81"/>
      <c r="L126" s="5"/>
    </row>
    <row r="127">
      <c r="A127" s="97">
        <v>3.0</v>
      </c>
      <c r="B127" s="97"/>
      <c r="C127" s="98"/>
      <c r="D127" s="98"/>
      <c r="E127" s="99"/>
      <c r="F127" s="100"/>
      <c r="G127" s="101" t="str">
        <f t="shared" si="28"/>
        <v>#DIV/0!</v>
      </c>
      <c r="H127" s="101" t="str">
        <f t="shared" si="29"/>
        <v>#DIV/0!</v>
      </c>
      <c r="I127" s="81"/>
      <c r="J127" s="81"/>
      <c r="K127" s="81"/>
      <c r="L127" s="5"/>
    </row>
    <row r="128">
      <c r="A128" s="89">
        <v>4.0</v>
      </c>
      <c r="B128" s="89"/>
      <c r="C128" s="90"/>
      <c r="D128" s="90"/>
      <c r="E128" s="91"/>
      <c r="F128" s="92"/>
      <c r="G128" s="93" t="str">
        <f t="shared" si="28"/>
        <v>#DIV/0!</v>
      </c>
      <c r="H128" s="93" t="str">
        <f t="shared" si="29"/>
        <v>#DIV/0!</v>
      </c>
      <c r="I128" s="81"/>
      <c r="J128" s="81"/>
      <c r="K128" s="81"/>
      <c r="L128" s="5"/>
    </row>
    <row r="129">
      <c r="A129" s="94">
        <v>5.0</v>
      </c>
      <c r="B129" s="94"/>
      <c r="C129" s="67"/>
      <c r="D129" s="67"/>
      <c r="E129" s="67"/>
      <c r="F129" s="95"/>
      <c r="G129" s="96" t="str">
        <f t="shared" si="28"/>
        <v>#DIV/0!</v>
      </c>
      <c r="H129" s="96" t="str">
        <f t="shared" si="29"/>
        <v>#DIV/0!</v>
      </c>
      <c r="I129" s="81"/>
      <c r="J129" s="81"/>
      <c r="K129" s="81"/>
      <c r="L129" s="5"/>
    </row>
    <row r="130">
      <c r="A130" s="97">
        <v>6.0</v>
      </c>
      <c r="B130" s="97"/>
      <c r="C130" s="98"/>
      <c r="D130" s="98"/>
      <c r="E130" s="99"/>
      <c r="F130" s="100"/>
      <c r="G130" s="101" t="str">
        <f t="shared" si="28"/>
        <v>#DIV/0!</v>
      </c>
      <c r="H130" s="101" t="str">
        <f t="shared" si="29"/>
        <v>#DIV/0!</v>
      </c>
      <c r="I130" s="81"/>
      <c r="J130" s="81"/>
      <c r="K130" s="81"/>
      <c r="L130" s="5"/>
    </row>
    <row r="131">
      <c r="A131" s="97">
        <v>7.0</v>
      </c>
      <c r="B131" s="97"/>
      <c r="C131" s="98"/>
      <c r="D131" s="98"/>
      <c r="E131" s="99"/>
      <c r="F131" s="100"/>
      <c r="G131" s="101" t="str">
        <f t="shared" si="28"/>
        <v>#DIV/0!</v>
      </c>
      <c r="H131" s="101" t="str">
        <f t="shared" si="29"/>
        <v>#DIV/0!</v>
      </c>
      <c r="I131" s="81"/>
      <c r="J131" s="81"/>
      <c r="K131" s="81"/>
      <c r="L131" s="5"/>
    </row>
    <row r="132">
      <c r="A132" s="97">
        <v>8.0</v>
      </c>
      <c r="B132" s="97"/>
      <c r="C132" s="98"/>
      <c r="D132" s="98"/>
      <c r="E132" s="99"/>
      <c r="F132" s="100"/>
      <c r="G132" s="101" t="str">
        <f t="shared" si="28"/>
        <v>#DIV/0!</v>
      </c>
      <c r="H132" s="101" t="str">
        <f t="shared" si="29"/>
        <v>#DIV/0!</v>
      </c>
      <c r="I132" s="81"/>
      <c r="J132" s="81"/>
      <c r="K132" s="81"/>
      <c r="L132" s="5"/>
    </row>
    <row r="133">
      <c r="A133" s="97">
        <v>9.0</v>
      </c>
      <c r="B133" s="97"/>
      <c r="C133" s="98"/>
      <c r="D133" s="98"/>
      <c r="E133" s="99"/>
      <c r="F133" s="100"/>
      <c r="G133" s="101" t="str">
        <f t="shared" si="28"/>
        <v>#DIV/0!</v>
      </c>
      <c r="H133" s="101" t="str">
        <f t="shared" si="29"/>
        <v>#DIV/0!</v>
      </c>
      <c r="I133" s="81"/>
      <c r="J133" s="81"/>
      <c r="K133" s="81"/>
      <c r="L133" s="5"/>
    </row>
    <row r="134">
      <c r="A134" s="97">
        <v>10.0</v>
      </c>
      <c r="B134" s="97"/>
      <c r="C134" s="98"/>
      <c r="D134" s="98"/>
      <c r="E134" s="99"/>
      <c r="F134" s="100"/>
      <c r="G134" s="101" t="str">
        <f t="shared" si="28"/>
        <v>#DIV/0!</v>
      </c>
      <c r="H134" s="101" t="str">
        <f t="shared" si="29"/>
        <v>#DIV/0!</v>
      </c>
      <c r="I134" s="81"/>
      <c r="J134" s="81"/>
      <c r="K134" s="81"/>
      <c r="L134" s="5"/>
    </row>
    <row r="135">
      <c r="A135" s="97">
        <v>11.0</v>
      </c>
      <c r="B135" s="97"/>
      <c r="C135" s="98"/>
      <c r="D135" s="98"/>
      <c r="E135" s="99"/>
      <c r="F135" s="100"/>
      <c r="G135" s="101" t="str">
        <f t="shared" si="28"/>
        <v>#DIV/0!</v>
      </c>
      <c r="H135" s="101" t="str">
        <f t="shared" si="29"/>
        <v>#DIV/0!</v>
      </c>
      <c r="I135" s="81"/>
      <c r="J135" s="81"/>
      <c r="K135" s="81"/>
      <c r="L135" s="5"/>
    </row>
    <row r="136">
      <c r="A136" s="94">
        <v>12.0</v>
      </c>
      <c r="B136" s="94"/>
      <c r="C136" s="67"/>
      <c r="D136" s="67"/>
      <c r="E136" s="67"/>
      <c r="F136" s="95"/>
      <c r="G136" s="96" t="str">
        <f t="shared" si="28"/>
        <v>#DIV/0!</v>
      </c>
      <c r="H136" s="96" t="str">
        <f t="shared" si="29"/>
        <v>#DIV/0!</v>
      </c>
      <c r="I136" s="81"/>
      <c r="J136" s="81"/>
      <c r="K136" s="81"/>
      <c r="L136" s="5"/>
    </row>
    <row r="137">
      <c r="A137" s="94">
        <v>13.0</v>
      </c>
      <c r="B137" s="94"/>
      <c r="C137" s="67"/>
      <c r="D137" s="67"/>
      <c r="E137" s="67"/>
      <c r="F137" s="95"/>
      <c r="G137" s="96" t="str">
        <f t="shared" si="28"/>
        <v>#DIV/0!</v>
      </c>
      <c r="H137" s="96" t="str">
        <f t="shared" si="29"/>
        <v>#DIV/0!</v>
      </c>
      <c r="I137" s="81"/>
      <c r="J137" s="81"/>
      <c r="K137" s="81"/>
      <c r="L137" s="5"/>
    </row>
    <row r="138">
      <c r="A138" s="94">
        <v>14.0</v>
      </c>
      <c r="B138" s="94"/>
      <c r="C138" s="67"/>
      <c r="D138" s="67"/>
      <c r="E138" s="67"/>
      <c r="F138" s="95"/>
      <c r="G138" s="96" t="str">
        <f t="shared" si="28"/>
        <v>#DIV/0!</v>
      </c>
      <c r="H138" s="96" t="str">
        <f t="shared" si="29"/>
        <v>#DIV/0!</v>
      </c>
      <c r="I138" s="81"/>
      <c r="J138" s="81"/>
      <c r="K138" s="81"/>
      <c r="L138" s="5"/>
    </row>
    <row r="139">
      <c r="A139" s="94">
        <v>15.0</v>
      </c>
      <c r="B139" s="94"/>
      <c r="C139" s="67"/>
      <c r="D139" s="67"/>
      <c r="E139" s="67"/>
      <c r="F139" s="95"/>
      <c r="G139" s="96" t="str">
        <f t="shared" si="28"/>
        <v>#DIV/0!</v>
      </c>
      <c r="H139" s="96" t="str">
        <f t="shared" si="29"/>
        <v>#DIV/0!</v>
      </c>
      <c r="I139" s="81"/>
      <c r="J139" s="81"/>
      <c r="K139" s="81"/>
      <c r="L139" s="5"/>
    </row>
    <row r="140">
      <c r="A140" s="94">
        <v>16.0</v>
      </c>
      <c r="B140" s="94"/>
      <c r="C140" s="67"/>
      <c r="D140" s="67"/>
      <c r="E140" s="67"/>
      <c r="F140" s="95"/>
      <c r="G140" s="96" t="str">
        <f t="shared" si="28"/>
        <v>#DIV/0!</v>
      </c>
      <c r="H140" s="96" t="str">
        <f t="shared" si="29"/>
        <v>#DIV/0!</v>
      </c>
      <c r="I140" s="81"/>
      <c r="J140" s="81"/>
      <c r="K140" s="81"/>
      <c r="L140" s="5"/>
    </row>
    <row r="141">
      <c r="A141" s="89">
        <v>17.0</v>
      </c>
      <c r="B141" s="89"/>
      <c r="C141" s="90"/>
      <c r="D141" s="90"/>
      <c r="E141" s="91"/>
      <c r="F141" s="92"/>
      <c r="G141" s="93" t="str">
        <f t="shared" si="28"/>
        <v>#DIV/0!</v>
      </c>
      <c r="H141" s="93" t="str">
        <f t="shared" si="29"/>
        <v>#DIV/0!</v>
      </c>
      <c r="I141" s="81"/>
      <c r="J141" s="81"/>
      <c r="K141" s="81"/>
      <c r="L141" s="5"/>
    </row>
    <row r="142">
      <c r="A142" s="97">
        <v>18.0</v>
      </c>
      <c r="B142" s="97"/>
      <c r="C142" s="98"/>
      <c r="D142" s="98"/>
      <c r="E142" s="99"/>
      <c r="F142" s="100"/>
      <c r="G142" s="101" t="str">
        <f t="shared" si="28"/>
        <v>#DIV/0!</v>
      </c>
      <c r="H142" s="101" t="str">
        <f t="shared" si="29"/>
        <v>#DIV/0!</v>
      </c>
      <c r="I142" s="81"/>
      <c r="J142" s="81"/>
      <c r="K142" s="81"/>
      <c r="L142" s="5"/>
    </row>
    <row r="143">
      <c r="A143" s="94">
        <v>19.0</v>
      </c>
      <c r="B143" s="94"/>
      <c r="C143" s="67"/>
      <c r="D143" s="67"/>
      <c r="E143" s="67"/>
      <c r="F143" s="95"/>
      <c r="G143" s="96" t="str">
        <f t="shared" si="28"/>
        <v>#DIV/0!</v>
      </c>
      <c r="H143" s="96" t="str">
        <f t="shared" si="29"/>
        <v>#DIV/0!</v>
      </c>
      <c r="I143" s="81"/>
      <c r="J143" s="81"/>
      <c r="K143" s="81"/>
      <c r="L143" s="5"/>
    </row>
    <row r="144">
      <c r="A144" s="89">
        <v>20.0</v>
      </c>
      <c r="B144" s="89"/>
      <c r="C144" s="90"/>
      <c r="D144" s="90"/>
      <c r="E144" s="91"/>
      <c r="F144" s="92"/>
      <c r="G144" s="93" t="str">
        <f t="shared" si="28"/>
        <v>#DIV/0!</v>
      </c>
      <c r="H144" s="93" t="str">
        <f t="shared" si="29"/>
        <v>#DIV/0!</v>
      </c>
      <c r="I144" s="81"/>
      <c r="J144" s="81"/>
      <c r="K144" s="81"/>
      <c r="L144" s="5"/>
    </row>
    <row r="145">
      <c r="A145" s="94">
        <v>21.0</v>
      </c>
      <c r="B145" s="94"/>
      <c r="C145" s="67"/>
      <c r="D145" s="67"/>
      <c r="E145" s="67"/>
      <c r="F145" s="95"/>
      <c r="G145" s="96" t="str">
        <f t="shared" si="28"/>
        <v>#DIV/0!</v>
      </c>
      <c r="H145" s="96" t="str">
        <f t="shared" si="29"/>
        <v>#DIV/0!</v>
      </c>
      <c r="I145" s="81"/>
      <c r="J145" s="81"/>
      <c r="K145" s="81"/>
      <c r="L145" s="5"/>
    </row>
    <row r="146">
      <c r="A146" s="89">
        <v>22.0</v>
      </c>
      <c r="B146" s="89"/>
      <c r="C146" s="90"/>
      <c r="D146" s="90"/>
      <c r="E146" s="91"/>
      <c r="F146" s="92"/>
      <c r="G146" s="93" t="str">
        <f t="shared" si="28"/>
        <v>#DIV/0!</v>
      </c>
      <c r="H146" s="93" t="str">
        <f t="shared" si="29"/>
        <v>#DIV/0!</v>
      </c>
      <c r="I146" s="81"/>
      <c r="J146" s="81"/>
      <c r="K146" s="81"/>
      <c r="L146" s="5"/>
    </row>
    <row r="147">
      <c r="A147" s="89">
        <v>23.0</v>
      </c>
      <c r="B147" s="89"/>
      <c r="C147" s="90"/>
      <c r="D147" s="90"/>
      <c r="E147" s="91"/>
      <c r="F147" s="92"/>
      <c r="G147" s="93" t="str">
        <f t="shared" si="28"/>
        <v>#DIV/0!</v>
      </c>
      <c r="H147" s="93" t="str">
        <f t="shared" si="29"/>
        <v>#DIV/0!</v>
      </c>
      <c r="I147" s="81"/>
      <c r="J147" s="81"/>
      <c r="K147" s="81"/>
      <c r="L147" s="5"/>
    </row>
    <row r="148">
      <c r="A148" s="94">
        <v>24.0</v>
      </c>
      <c r="B148" s="94"/>
      <c r="C148" s="67"/>
      <c r="D148" s="67"/>
      <c r="E148" s="67"/>
      <c r="F148" s="95"/>
      <c r="G148" s="96" t="str">
        <f t="shared" si="28"/>
        <v>#DIV/0!</v>
      </c>
      <c r="H148" s="96" t="str">
        <f t="shared" si="29"/>
        <v>#DIV/0!</v>
      </c>
      <c r="I148" s="81"/>
      <c r="J148" s="81"/>
      <c r="K148" s="81"/>
      <c r="L148" s="5"/>
    </row>
    <row r="149">
      <c r="A149" s="94">
        <v>25.0</v>
      </c>
      <c r="B149" s="94"/>
      <c r="C149" s="67"/>
      <c r="D149" s="67"/>
      <c r="E149" s="67"/>
      <c r="F149" s="95"/>
      <c r="G149" s="96" t="str">
        <f t="shared" si="28"/>
        <v>#DIV/0!</v>
      </c>
      <c r="H149" s="96" t="str">
        <f t="shared" si="29"/>
        <v>#DIV/0!</v>
      </c>
      <c r="I149" s="81"/>
      <c r="J149" s="81"/>
      <c r="K149" s="81"/>
      <c r="L149" s="5"/>
    </row>
    <row r="150">
      <c r="A150" s="94">
        <v>26.0</v>
      </c>
      <c r="B150" s="94"/>
      <c r="C150" s="67"/>
      <c r="D150" s="67"/>
      <c r="E150" s="67"/>
      <c r="F150" s="95"/>
      <c r="G150" s="96" t="str">
        <f t="shared" si="28"/>
        <v>#DIV/0!</v>
      </c>
      <c r="H150" s="96" t="str">
        <f t="shared" si="29"/>
        <v>#DIV/0!</v>
      </c>
      <c r="I150" s="81"/>
      <c r="J150" s="81"/>
      <c r="K150" s="81"/>
      <c r="L150" s="5"/>
    </row>
    <row r="151">
      <c r="A151" s="89">
        <v>27.0</v>
      </c>
      <c r="B151" s="89"/>
      <c r="C151" s="90"/>
      <c r="D151" s="90"/>
      <c r="E151" s="91"/>
      <c r="F151" s="92"/>
      <c r="G151" s="93" t="str">
        <f t="shared" si="28"/>
        <v>#DIV/0!</v>
      </c>
      <c r="H151" s="93" t="str">
        <f t="shared" si="29"/>
        <v>#DIV/0!</v>
      </c>
      <c r="I151" s="81"/>
      <c r="J151" s="81"/>
      <c r="K151" s="81"/>
      <c r="L151" s="5"/>
    </row>
    <row r="152">
      <c r="A152" s="94">
        <v>28.0</v>
      </c>
      <c r="B152" s="94"/>
      <c r="C152" s="67"/>
      <c r="D152" s="67"/>
      <c r="E152" s="67"/>
      <c r="F152" s="95"/>
      <c r="G152" s="96" t="str">
        <f t="shared" si="28"/>
        <v>#DIV/0!</v>
      </c>
      <c r="H152" s="96" t="str">
        <f t="shared" si="29"/>
        <v>#DIV/0!</v>
      </c>
      <c r="I152" s="81"/>
      <c r="J152" s="81"/>
      <c r="K152" s="81"/>
      <c r="L152" s="5"/>
    </row>
    <row r="153">
      <c r="A153" s="97">
        <v>29.0</v>
      </c>
      <c r="B153" s="97"/>
      <c r="C153" s="98"/>
      <c r="D153" s="98"/>
      <c r="E153" s="99"/>
      <c r="F153" s="100"/>
      <c r="G153" s="101" t="str">
        <f t="shared" si="28"/>
        <v>#DIV/0!</v>
      </c>
      <c r="H153" s="101" t="str">
        <f t="shared" si="29"/>
        <v>#DIV/0!</v>
      </c>
      <c r="I153" s="81"/>
      <c r="J153" s="81"/>
      <c r="K153" s="81"/>
      <c r="L153" s="5"/>
    </row>
    <row r="154">
      <c r="A154" s="89">
        <v>30.0</v>
      </c>
      <c r="B154" s="89"/>
      <c r="C154" s="90"/>
      <c r="D154" s="90"/>
      <c r="E154" s="91"/>
      <c r="F154" s="92"/>
      <c r="G154" s="93" t="str">
        <f t="shared" si="28"/>
        <v>#DIV/0!</v>
      </c>
      <c r="H154" s="93" t="str">
        <f t="shared" si="29"/>
        <v>#DIV/0!</v>
      </c>
      <c r="I154" s="81"/>
      <c r="J154" s="81"/>
      <c r="K154" s="81"/>
      <c r="L154" s="5"/>
    </row>
    <row r="155">
      <c r="A155" s="89">
        <v>31.0</v>
      </c>
      <c r="B155" s="89"/>
      <c r="C155" s="90"/>
      <c r="D155" s="90"/>
      <c r="E155" s="91"/>
      <c r="F155" s="92"/>
      <c r="G155" s="93" t="str">
        <f t="shared" si="28"/>
        <v>#DIV/0!</v>
      </c>
      <c r="H155" s="93" t="str">
        <f t="shared" si="29"/>
        <v>#DIV/0!</v>
      </c>
      <c r="I155" s="81"/>
      <c r="J155" s="81"/>
      <c r="K155" s="81"/>
      <c r="L155" s="5"/>
    </row>
    <row r="156">
      <c r="A156" s="89">
        <v>32.0</v>
      </c>
      <c r="B156" s="89"/>
      <c r="C156" s="90"/>
      <c r="D156" s="90"/>
      <c r="E156" s="91"/>
      <c r="F156" s="92"/>
      <c r="G156" s="93" t="str">
        <f t="shared" si="28"/>
        <v>#DIV/0!</v>
      </c>
      <c r="H156" s="93" t="str">
        <f t="shared" si="29"/>
        <v>#DIV/0!</v>
      </c>
      <c r="I156" s="81"/>
      <c r="J156" s="81"/>
      <c r="K156" s="81"/>
      <c r="L156" s="5"/>
    </row>
    <row r="157">
      <c r="A157" s="94">
        <v>33.0</v>
      </c>
      <c r="B157" s="94"/>
      <c r="C157" s="67"/>
      <c r="D157" s="67"/>
      <c r="E157" s="67"/>
      <c r="F157" s="95"/>
      <c r="G157" s="96" t="str">
        <f t="shared" si="28"/>
        <v>#DIV/0!</v>
      </c>
      <c r="H157" s="96" t="str">
        <f t="shared" si="29"/>
        <v>#DIV/0!</v>
      </c>
      <c r="I157" s="81"/>
      <c r="J157" s="81"/>
      <c r="K157" s="81"/>
      <c r="L157" s="5"/>
    </row>
    <row r="158">
      <c r="A158" s="89">
        <v>34.0</v>
      </c>
      <c r="B158" s="89"/>
      <c r="C158" s="90"/>
      <c r="D158" s="90"/>
      <c r="E158" s="91"/>
      <c r="F158" s="92"/>
      <c r="G158" s="93" t="str">
        <f t="shared" si="28"/>
        <v>#DIV/0!</v>
      </c>
      <c r="H158" s="93" t="str">
        <f t="shared" si="29"/>
        <v>#DIV/0!</v>
      </c>
      <c r="I158" s="81"/>
      <c r="J158" s="81"/>
      <c r="K158" s="81"/>
      <c r="L158" s="5"/>
    </row>
    <row r="159">
      <c r="A159" s="89">
        <v>35.0</v>
      </c>
      <c r="B159" s="89"/>
      <c r="C159" s="90"/>
      <c r="D159" s="90"/>
      <c r="E159" s="91"/>
      <c r="F159" s="92"/>
      <c r="G159" s="93" t="str">
        <f t="shared" si="28"/>
        <v>#DIV/0!</v>
      </c>
      <c r="H159" s="93" t="str">
        <f t="shared" si="29"/>
        <v>#DIV/0!</v>
      </c>
      <c r="I159" s="81"/>
      <c r="J159" s="81"/>
      <c r="K159" s="81"/>
      <c r="L159" s="5"/>
    </row>
    <row r="160">
      <c r="A160" s="97">
        <v>36.0</v>
      </c>
      <c r="B160" s="97"/>
      <c r="C160" s="98"/>
      <c r="D160" s="98"/>
      <c r="E160" s="99"/>
      <c r="F160" s="100"/>
      <c r="G160" s="101" t="str">
        <f t="shared" si="28"/>
        <v>#DIV/0!</v>
      </c>
      <c r="H160" s="101" t="str">
        <f t="shared" si="29"/>
        <v>#DIV/0!</v>
      </c>
      <c r="I160" s="81"/>
      <c r="J160" s="81"/>
      <c r="K160" s="81"/>
      <c r="L160" s="5"/>
    </row>
    <row r="161">
      <c r="A161" s="94">
        <v>37.0</v>
      </c>
      <c r="B161" s="94"/>
      <c r="C161" s="67"/>
      <c r="D161" s="67"/>
      <c r="E161" s="67"/>
      <c r="F161" s="95"/>
      <c r="G161" s="96" t="str">
        <f t="shared" si="28"/>
        <v>#DIV/0!</v>
      </c>
      <c r="H161" s="96" t="str">
        <f t="shared" si="29"/>
        <v>#DIV/0!</v>
      </c>
      <c r="I161" s="81"/>
      <c r="J161" s="81"/>
      <c r="K161" s="81"/>
      <c r="L161" s="5"/>
    </row>
    <row r="162">
      <c r="A162" s="94">
        <v>38.0</v>
      </c>
      <c r="B162" s="94"/>
      <c r="C162" s="67"/>
      <c r="D162" s="67"/>
      <c r="E162" s="67"/>
      <c r="F162" s="95"/>
      <c r="G162" s="96" t="str">
        <f t="shared" si="28"/>
        <v>#DIV/0!</v>
      </c>
      <c r="H162" s="96" t="str">
        <f t="shared" si="29"/>
        <v>#DIV/0!</v>
      </c>
      <c r="I162" s="81"/>
      <c r="J162" s="81"/>
      <c r="K162" s="81"/>
      <c r="L162" s="5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5"/>
      <c r="K163" s="5"/>
      <c r="L163" s="5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5"/>
      <c r="K164" s="5"/>
      <c r="L164" s="5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5"/>
      <c r="K165" s="5"/>
      <c r="L165" s="5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5"/>
      <c r="K166" s="5"/>
      <c r="L166" s="5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5"/>
      <c r="K167" s="5"/>
      <c r="L167" s="5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5"/>
      <c r="K168" s="5"/>
      <c r="L168" s="5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5"/>
      <c r="K169" s="5"/>
      <c r="L169" s="5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5"/>
      <c r="K170" s="5"/>
      <c r="L170" s="5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5"/>
      <c r="K171" s="5"/>
      <c r="L171" s="5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5"/>
      <c r="K172" s="5"/>
      <c r="L172" s="5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5"/>
      <c r="K173" s="5"/>
      <c r="L173" s="5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5"/>
      <c r="K174" s="5"/>
      <c r="L174" s="5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5"/>
      <c r="K175" s="5"/>
      <c r="L175" s="5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5"/>
      <c r="K176" s="5"/>
      <c r="L176" s="5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5"/>
      <c r="K177" s="5"/>
      <c r="L177" s="5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5"/>
      <c r="K178" s="5"/>
      <c r="L178" s="5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5"/>
      <c r="K179" s="5"/>
      <c r="L179" s="5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5"/>
      <c r="K180" s="5"/>
      <c r="L180" s="5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5"/>
      <c r="K181" s="5"/>
      <c r="L181" s="5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5"/>
      <c r="K182" s="5"/>
      <c r="L182" s="5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5"/>
      <c r="K183" s="5"/>
      <c r="L183" s="5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5"/>
      <c r="K184" s="5"/>
      <c r="L184" s="5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5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5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5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5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5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5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5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5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5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5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5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5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5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5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5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5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5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5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5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5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5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5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5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5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5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5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5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5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5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5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5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5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5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5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5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5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5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5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5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5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5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5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5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5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5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5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5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5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5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5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5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5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5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5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5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5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5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5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5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5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5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</row>
  </sheetData>
  <mergeCells count="44">
    <mergeCell ref="A1:L1"/>
    <mergeCell ref="A2:L2"/>
    <mergeCell ref="A4:F4"/>
    <mergeCell ref="G4:I4"/>
    <mergeCell ref="J4:L4"/>
    <mergeCell ref="H5:I5"/>
    <mergeCell ref="K5:L5"/>
    <mergeCell ref="B5:F5"/>
    <mergeCell ref="B6:F6"/>
    <mergeCell ref="H6:I6"/>
    <mergeCell ref="K6:L6"/>
    <mergeCell ref="B7:F7"/>
    <mergeCell ref="K7:L7"/>
    <mergeCell ref="K8:L8"/>
    <mergeCell ref="H11:I11"/>
    <mergeCell ref="H12:I12"/>
    <mergeCell ref="A14:L14"/>
    <mergeCell ref="A16:D16"/>
    <mergeCell ref="A18:D18"/>
    <mergeCell ref="F16:I16"/>
    <mergeCell ref="H7:I7"/>
    <mergeCell ref="H8:I8"/>
    <mergeCell ref="H9:I9"/>
    <mergeCell ref="K9:L9"/>
    <mergeCell ref="H10:I10"/>
    <mergeCell ref="K10:L10"/>
    <mergeCell ref="K11:L11"/>
    <mergeCell ref="K12:L12"/>
    <mergeCell ref="B8:F8"/>
    <mergeCell ref="B9:F9"/>
    <mergeCell ref="B10:F10"/>
    <mergeCell ref="B11:F11"/>
    <mergeCell ref="B12:F12"/>
    <mergeCell ref="A31:D31"/>
    <mergeCell ref="A39:D39"/>
    <mergeCell ref="F40:I40"/>
    <mergeCell ref="F77:I77"/>
    <mergeCell ref="A45:D45"/>
    <mergeCell ref="A51:D51"/>
    <mergeCell ref="A60:D60"/>
    <mergeCell ref="A102:I102"/>
    <mergeCell ref="A110:I110"/>
    <mergeCell ref="A101:I101"/>
    <mergeCell ref="A122:H122"/>
  </mergeCells>
  <printOptions/>
  <pageMargins bottom="1.0" footer="0.0" header="0.0" left="0.75" right="0.75" top="1.0"/>
  <pageSetup paperSize="9" orientation="portrait"/>
  <drawing r:id="rId2"/>
  <legacyDrawing r:id="rId3"/>
</worksheet>
</file>