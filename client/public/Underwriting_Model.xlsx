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nderwrit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0.00\x"/>
    <numFmt numFmtId="166" formatCode="\$0.00"/>
  </numFmts>
  <fonts count="18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i val="1"/>
      <color rgb="FFFFFFFF"/>
      <sz val="11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i val="1"/>
      <color rgb="FF808080"/>
      <sz val="9"/>
    </font>
    <font>
      <name val="Arial"/>
      <b val="1"/>
      <color rgb="FFFFFFFF"/>
      <sz val="11"/>
    </font>
    <font>
      <name val="Arial"/>
      <color rgb="FF0000FF"/>
      <sz val="10"/>
    </font>
    <font>
      <name val="Arial"/>
      <b val="1"/>
      <color rgb="FF008000"/>
      <sz val="10"/>
    </font>
    <font>
      <name val="Arial"/>
      <color rgb="FF008000"/>
      <sz val="10"/>
    </font>
    <font>
      <name val="Arial"/>
      <b val="1"/>
      <color rgb="FF000000"/>
      <sz val="11"/>
    </font>
    <font>
      <name val="Calibri"/>
      <i val="1"/>
      <color rgb="FF666666"/>
      <sz val="9"/>
    </font>
    <font>
      <name val="Calibri"/>
      <color theme="1"/>
      <scheme val="minor"/>
    </font>
    <font>
      <name val="Arial"/>
      <b val="1"/>
      <color rgb="FF0000FF"/>
      <sz val="10"/>
    </font>
    <font>
      <name val="Arial"/>
      <color rgb="FFCC0000"/>
      <sz val="10"/>
    </font>
  </fonts>
  <fills count="12">
    <fill>
      <patternFill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3A5C"/>
        <bgColor rgb="FF1B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5E6C8"/>
        <bgColor rgb="FFF5E6C8"/>
      </patternFill>
    </fill>
    <fill>
      <patternFill patternType="solid">
        <fgColor rgb="FFB8960C"/>
        <bgColor rgb="FFB8960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4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6" fillId="6" borderId="4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6" fillId="7" borderId="4" applyAlignment="1" pivotButton="0" quotePrefix="0" xfId="0">
      <alignment horizontal="left" vertical="center"/>
    </xf>
    <xf numFmtId="10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/>
    </xf>
    <xf numFmtId="0" fontId="10" fillId="5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 vertical="center"/>
    </xf>
    <xf numFmtId="164" fontId="11" fillId="4" borderId="4" applyAlignment="1" pivotButton="0" quotePrefix="0" xfId="0">
      <alignment horizontal="right" vertical="center"/>
    </xf>
    <xf numFmtId="164" fontId="12" fillId="4" borderId="4" applyAlignment="1" pivotButton="0" quotePrefix="0" xfId="0">
      <alignment horizontal="right" vertical="center"/>
    </xf>
    <xf numFmtId="0" fontId="10" fillId="5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4" fillId="3" borderId="4" applyAlignment="1" pivotButton="0" quotePrefix="0" xfId="0">
      <alignment vertical="bottom"/>
    </xf>
    <xf numFmtId="3" fontId="10" fillId="5" borderId="4" applyAlignment="1" pivotButton="0" quotePrefix="0" xfId="0">
      <alignment horizontal="left" vertical="center"/>
    </xf>
    <xf numFmtId="0" fontId="6" fillId="6" borderId="4" applyAlignment="1" pivotButton="0" quotePrefix="0" xfId="0">
      <alignment horizontal="left" vertical="center"/>
    </xf>
    <xf numFmtId="164" fontId="12" fillId="6" borderId="4" applyAlignment="1" pivotButton="0" quotePrefix="0" xfId="0">
      <alignment horizontal="right" vertical="center"/>
    </xf>
    <xf numFmtId="2" fontId="10" fillId="5" borderId="4" applyAlignment="1" pivotButton="0" quotePrefix="0" xfId="0">
      <alignment horizontal="left" vertical="center"/>
    </xf>
    <xf numFmtId="164" fontId="6" fillId="6" borderId="4" applyAlignment="1" pivotButton="0" quotePrefix="0" xfId="0">
      <alignment horizontal="right" vertical="center"/>
    </xf>
    <xf numFmtId="3" fontId="10" fillId="5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 vertical="center"/>
    </xf>
    <xf numFmtId="164" fontId="5" fillId="3" borderId="4" applyAlignment="1" pivotButton="0" quotePrefix="0" xfId="0">
      <alignment horizontal="right" vertical="center"/>
    </xf>
    <xf numFmtId="10" fontId="10" fillId="5" borderId="4" applyAlignment="1" pivotButton="0" quotePrefix="0" xfId="0">
      <alignment horizontal="left" vertical="center"/>
    </xf>
    <xf numFmtId="164" fontId="10" fillId="5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vertical="bottom"/>
    </xf>
    <xf numFmtId="164" fontId="5" fillId="2" borderId="4" applyAlignment="1" pivotButton="0" quotePrefix="0" xfId="0">
      <alignment horizontal="right" vertical="center"/>
    </xf>
    <xf numFmtId="164" fontId="10" fillId="5" borderId="4" applyAlignment="1" pivotButton="0" quotePrefix="0" xfId="0">
      <alignment horizontal="left" vertical="center"/>
    </xf>
    <xf numFmtId="0" fontId="7" fillId="7" borderId="4" applyAlignment="1" pivotButton="0" quotePrefix="0" xfId="0">
      <alignment horizontal="left" vertical="center"/>
    </xf>
    <xf numFmtId="164" fontId="7" fillId="7" borderId="4" applyAlignment="1" pivotButton="0" quotePrefix="0" xfId="0">
      <alignment horizontal="right" vertical="center"/>
    </xf>
    <xf numFmtId="10" fontId="10" fillId="5" borderId="4" applyAlignment="1" pivotButton="0" quotePrefix="0" xfId="0">
      <alignment horizontal="left" vertical="center"/>
    </xf>
    <xf numFmtId="10" fontId="6" fillId="7" borderId="4" applyAlignment="1" pivotButton="0" quotePrefix="0" xfId="0">
      <alignment horizontal="right" vertical="center"/>
    </xf>
    <xf numFmtId="0" fontId="5" fillId="8" borderId="4" applyAlignment="1" pivotButton="0" quotePrefix="0" xfId="0">
      <alignment horizontal="left" vertical="center"/>
    </xf>
    <xf numFmtId="0" fontId="4" fillId="8" borderId="4" applyAlignment="1" pivotButton="0" quotePrefix="0" xfId="0">
      <alignment horizontal="left" vertical="center"/>
    </xf>
    <xf numFmtId="0" fontId="7" fillId="6" borderId="4" applyAlignment="1" pivotButton="0" quotePrefix="0" xfId="0">
      <alignment horizontal="left" vertical="center"/>
    </xf>
    <xf numFmtId="164" fontId="7" fillId="6" borderId="4" applyAlignment="1" pivotButton="0" quotePrefix="0" xfId="0">
      <alignment horizontal="right" vertical="center"/>
    </xf>
    <xf numFmtId="164" fontId="6" fillId="5" borderId="4" applyAlignment="1" pivotButton="0" quotePrefix="0" xfId="0">
      <alignment horizontal="left" vertical="center"/>
    </xf>
    <xf numFmtId="164" fontId="7" fillId="4" borderId="4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/>
    </xf>
    <xf numFmtId="10" fontId="12" fillId="4" borderId="4" applyAlignment="1" pivotButton="0" quotePrefix="0" xfId="0">
      <alignment horizontal="right" vertical="center"/>
    </xf>
    <xf numFmtId="10" fontId="10" fillId="5" borderId="4" applyAlignment="1" pivotButton="0" quotePrefix="0" xfId="0">
      <alignment horizontal="right" vertical="center"/>
    </xf>
    <xf numFmtId="0" fontId="7" fillId="9" borderId="4" applyAlignment="1" pivotButton="0" quotePrefix="0" xfId="0">
      <alignment horizontal="left" vertical="center"/>
    </xf>
    <xf numFmtId="164" fontId="13" fillId="9" borderId="4" applyAlignment="1" pivotButton="0" quotePrefix="0" xfId="0">
      <alignment horizontal="right" vertical="center"/>
    </xf>
    <xf numFmtId="0" fontId="7" fillId="10" borderId="4" applyAlignment="1" pivotButton="0" quotePrefix="0" xfId="0">
      <alignment horizontal="left" vertical="center"/>
    </xf>
    <xf numFmtId="164" fontId="7" fillId="10" borderId="4" applyAlignment="1" pivotButton="0" quotePrefix="0" xfId="0">
      <alignment horizontal="right" vertical="center"/>
    </xf>
    <xf numFmtId="164" fontId="7" fillId="9" borderId="4" applyAlignment="1" pivotButton="0" quotePrefix="0" xfId="0">
      <alignment horizontal="right" vertical="center"/>
    </xf>
    <xf numFmtId="0" fontId="5" fillId="3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left" vertical="center"/>
    </xf>
    <xf numFmtId="164" fontId="6" fillId="5" borderId="4" applyAlignment="1" pivotButton="0" quotePrefix="0" xfId="0">
      <alignment horizontal="right" vertical="center"/>
    </xf>
    <xf numFmtId="164" fontId="6" fillId="5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left" vertical="center"/>
    </xf>
    <xf numFmtId="164" fontId="11" fillId="10" borderId="4" applyAlignment="1" pivotButton="0" quotePrefix="0" xfId="0">
      <alignment horizontal="right" vertical="center"/>
    </xf>
    <xf numFmtId="164" fontId="12" fillId="5" borderId="4" applyAlignment="1" pivotButton="0" quotePrefix="0" xfId="0">
      <alignment horizontal="right" vertical="center"/>
    </xf>
    <xf numFmtId="164" fontId="11" fillId="7" borderId="4" applyAlignment="1" pivotButton="0" quotePrefix="0" xfId="0">
      <alignment horizontal="right" vertical="center"/>
    </xf>
    <xf numFmtId="0" fontId="9" fillId="2" borderId="4" applyAlignment="1" pivotButton="0" quotePrefix="0" xfId="0">
      <alignment horizontal="left" vertical="center"/>
    </xf>
    <xf numFmtId="164" fontId="9" fillId="2" borderId="4" applyAlignment="1" pivotButton="0" quotePrefix="0" xfId="0">
      <alignment horizontal="right" vertical="center"/>
    </xf>
    <xf numFmtId="10" fontId="7" fillId="7" borderId="4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4" fontId="6" fillId="11" borderId="4" applyAlignment="1" pivotButton="0" quotePrefix="0" xfId="0">
      <alignment horizontal="right" vertical="center"/>
    </xf>
    <xf numFmtId="0" fontId="14" fillId="0" borderId="0" applyAlignment="1" pivotButton="0" quotePrefix="0" xfId="0">
      <alignment vertical="bottom"/>
    </xf>
    <xf numFmtId="0" fontId="13" fillId="9" borderId="4" applyAlignment="1" pivotButton="0" quotePrefix="0" xfId="0">
      <alignment horizontal="left" vertical="center"/>
    </xf>
    <xf numFmtId="10" fontId="6" fillId="6" borderId="4" applyAlignment="1" pivotButton="0" quotePrefix="0" xfId="0">
      <alignment horizontal="right" vertical="center"/>
    </xf>
    <xf numFmtId="165" fontId="6" fillId="6" borderId="4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bottom"/>
    </xf>
    <xf numFmtId="0" fontId="5" fillId="2" borderId="4" applyAlignment="1" pivotButton="0" quotePrefix="0" xfId="0">
      <alignment horizontal="right" vertical="center"/>
    </xf>
    <xf numFmtId="10" fontId="5" fillId="2" borderId="4" applyAlignment="1" pivotButton="0" quotePrefix="0" xfId="0">
      <alignment horizontal="center" vertical="center"/>
    </xf>
    <xf numFmtId="164" fontId="12" fillId="7" borderId="4" applyAlignment="1" pivotButton="0" quotePrefix="0" xfId="0">
      <alignment horizontal="right" vertical="center"/>
    </xf>
    <xf numFmtId="164" fontId="6" fillId="7" borderId="4" applyAlignment="1" pivotButton="0" quotePrefix="0" xfId="0">
      <alignment horizontal="right" vertical="center"/>
    </xf>
    <xf numFmtId="164" fontId="16" fillId="7" borderId="4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164" fontId="6" fillId="10" borderId="4" applyAlignment="1" pivotButton="0" quotePrefix="0" xfId="0">
      <alignment horizontal="right" vertical="center"/>
    </xf>
    <xf numFmtId="164" fontId="17" fillId="10" borderId="4" applyAlignment="1" pivotButton="0" quotePrefix="0" xfId="0">
      <alignment horizontal="right" vertical="center"/>
    </xf>
    <xf numFmtId="3" fontId="6" fillId="10" borderId="4" applyAlignment="1" pivotButton="0" quotePrefix="0" xfId="0">
      <alignment horizontal="right" vertical="center"/>
    </xf>
    <xf numFmtId="166" fontId="6" fillId="10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center" vertical="center"/>
    </xf>
    <xf numFmtId="3" fontId="6" fillId="5" borderId="4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0" fontId="6" fillId="9" borderId="4" applyAlignment="1" pivotButton="0" quotePrefix="0" xfId="0">
      <alignment horizontal="center" vertical="center"/>
    </xf>
    <xf numFmtId="164" fontId="6" fillId="9" borderId="4" applyAlignment="1" pivotButton="0" quotePrefix="0" xfId="0">
      <alignment horizontal="right" vertical="center"/>
    </xf>
    <xf numFmtId="164" fontId="12" fillId="9" borderId="4" applyAlignment="1" pivotButton="0" quotePrefix="0" xfId="0">
      <alignment horizontal="right" vertical="center"/>
    </xf>
    <xf numFmtId="3" fontId="6" fillId="9" borderId="4" applyAlignment="1" pivotButton="0" quotePrefix="0" xfId="0">
      <alignment horizontal="right" vertical="center"/>
    </xf>
    <xf numFmtId="166" fontId="6" fillId="9" borderId="4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/>
    </xf>
    <xf numFmtId="10" fontId="7" fillId="5" borderId="4" applyAlignment="1" pivotButton="0" quotePrefix="0" xfId="0">
      <alignment horizontal="right" vertical="center"/>
    </xf>
    <xf numFmtId="165" fontId="7" fillId="5" borderId="4" applyAlignment="1" pivotButton="0" quotePrefix="0" xfId="0">
      <alignment horizontal="right" vertical="center"/>
    </xf>
    <xf numFmtId="3" fontId="7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right" vertical="center"/>
    </xf>
    <xf numFmtId="0" fontId="8" fillId="4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bottom"/>
    </xf>
    <xf numFmtId="166" fontId="6" fillId="10" borderId="4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166" fontId="6" fillId="9" borderId="4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19" authorId="0" shapeId="0">
      <text>
        <t>2025 P_L statement.pdf | Page 1 | Walker Apartments</t>
      </text>
    </comment>
    <comment ref="B20" authorId="0" shapeId="0">
      <text>
        <t>2025 P_L statement.pdf | Page 1 | 521 SW 24th st Oklahoma city, OK 73109</t>
      </text>
    </comment>
    <comment ref="B63" authorId="0" shapeId="0">
      <text>
        <t>2025 P_L statement.pdf | Page 1 | $110,775</t>
      </text>
    </comment>
    <comment ref="B70" authorId="0" shapeId="0">
      <text>
        <t>2025 P_L statement.pdf | Page 1 | $7,560</t>
      </text>
    </comment>
    <comment ref="B71" authorId="0" shapeId="0">
      <text>
        <t>2025 P_L statement.pdf | Page 1 | $5,544</t>
      </text>
    </comment>
    <comment ref="B73" authorId="0" shapeId="0">
      <text>
        <t>2025 P_L statement.pdf | Page 1 | $11,906</t>
      </text>
    </comment>
    <comment ref="B75" authorId="0" shapeId="0">
      <text>
        <t>2025 P_L statement.pdf | Page 1 | $900</t>
      </text>
    </comment>
    <comment ref="B77" authorId="0" shapeId="0">
      <text>
        <t>2025 P_L statement.pdf | Page 1 | $5,209</t>
      </text>
    </comment>
    <comment ref="B78" authorId="0" shapeId="0">
      <text>
        <t>2025 P_L statement.pdf | Page 1 | $8,469</t>
      </text>
    </comment>
    <comment ref="B80" authorId="0" shapeId="0">
      <text>
        <t>2025 P_L statement.pdf | Page 1 | $2,794</t>
      </text>
    </comment>
    <comment ref="B81" authorId="0" shapeId="0">
      <text>
        <t>2025 P_L statement.pdf | Page 1 | $1,625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102" min="1" max="1"/>
    <col width="20" customWidth="1" style="102" min="2" max="4"/>
    <col width="4" customWidth="1" style="102" min="5" max="5"/>
    <col width="53.43" customWidth="1" style="102" min="6" max="6"/>
    <col width="23" customWidth="1" style="102" min="7" max="9"/>
    <col width="18" customWidth="1" style="102" min="10" max="12"/>
    <col width="8.710000000000001" customWidth="1" style="102" min="13" max="26"/>
  </cols>
  <sheetData>
    <row r="1">
      <c r="A1" s="103" t="inlineStr">
        <is>
          <t>DEAL NAME — INVESTMENT UNDERWRITING MODEL</t>
        </is>
      </c>
    </row>
    <row r="2">
      <c r="A2" s="104" t="inlineStr">
        <is>
          <t>Address | City, ST ZIP  |  Units  |  Year Built  |  Offer Price  |  Down %  |  Rate / Amort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88" t="inlineStr">
        <is>
          <t>📋  DEAL SNAPSHOT</t>
        </is>
      </c>
      <c r="G4" s="88" t="inlineStr">
        <is>
          <t>💰  FINANCIAL PERFORMANCE</t>
        </is>
      </c>
      <c r="J4" s="105" t="inlineStr">
        <is>
          <t>🏦  EQUITY RETURNS (Full Value-Add)</t>
        </is>
      </c>
    </row>
    <row r="5">
      <c r="A5" s="8" t="inlineStr">
        <is>
          <t>Purchase Price</t>
        </is>
      </c>
      <c r="B5" s="106" t="n">
        <v>2750000</v>
      </c>
      <c r="G5" s="31" t="inlineStr">
        <is>
          <t>NOI — Current Expenses</t>
        </is>
      </c>
      <c r="H5" s="106">
        <f>B87</f>
        <v/>
      </c>
      <c r="J5" s="12" t="inlineStr">
        <is>
          <t>Your Investment</t>
        </is>
      </c>
      <c r="K5" s="106">
        <f>B47</f>
        <v/>
      </c>
    </row>
    <row r="6">
      <c r="A6" s="8" t="inlineStr">
        <is>
          <t>Price Per Unit</t>
        </is>
      </c>
      <c r="B6" s="106">
        <f>B5/B11</f>
        <v/>
      </c>
      <c r="G6" s="31" t="inlineStr">
        <is>
          <t>NOI — Full Value-Add</t>
        </is>
      </c>
      <c r="H6" s="106">
        <f>D87</f>
        <v/>
      </c>
      <c r="J6" s="12" t="inlineStr">
        <is>
          <t>Your Annual CF (S3)</t>
        </is>
      </c>
      <c r="K6" s="106">
        <f>I31</f>
        <v/>
      </c>
    </row>
    <row r="7">
      <c r="A7" s="8" t="inlineStr">
        <is>
          <t>Total Cash to Close</t>
        </is>
      </c>
      <c r="B7" s="106">
        <f>B42</f>
        <v/>
      </c>
      <c r="G7" s="31" t="inlineStr">
        <is>
          <t>Cap Rate — Current</t>
        </is>
      </c>
      <c r="H7" s="107">
        <f>B95</f>
        <v/>
      </c>
      <c r="J7" s="12" t="inlineStr">
        <is>
          <t>Your Monthly CF (S3)</t>
        </is>
      </c>
      <c r="K7" s="106">
        <f>I32</f>
        <v/>
      </c>
    </row>
    <row r="8">
      <c r="A8" s="8" t="inlineStr">
        <is>
          <t>Loan Amount</t>
        </is>
      </c>
      <c r="B8" s="106">
        <f>B40</f>
        <v/>
      </c>
      <c r="G8" s="31" t="inlineStr">
        <is>
          <t>Cap Rate — Value-Add</t>
        </is>
      </c>
      <c r="H8" s="107">
        <f>D95</f>
        <v/>
      </c>
      <c r="J8" s="12" t="inlineStr">
        <is>
          <t>Your 5-Year Distributions</t>
        </is>
      </c>
      <c r="K8" s="106">
        <f>I36</f>
        <v/>
      </c>
    </row>
    <row r="9">
      <c r="A9" s="8" t="inlineStr">
        <is>
          <t>Monthly Debt Service</t>
        </is>
      </c>
      <c r="B9" s="106">
        <f>B43</f>
        <v/>
      </c>
      <c r="G9" s="31" t="inlineStr">
        <is>
          <t>DSCR</t>
        </is>
      </c>
      <c r="H9" s="108">
        <f>B96</f>
        <v/>
      </c>
      <c r="J9" s="12" t="inlineStr">
        <is>
          <t>Partner Investment</t>
        </is>
      </c>
      <c r="K9" s="106">
        <f>B46</f>
        <v/>
      </c>
    </row>
    <row r="10">
      <c r="A10" s="8" t="inlineStr">
        <is>
          <t>Occupancy</t>
        </is>
      </c>
      <c r="B10" s="107">
        <f>B28</f>
        <v/>
      </c>
      <c r="G10" s="31" t="inlineStr">
        <is>
          <t>Annual Debt Service</t>
        </is>
      </c>
      <c r="H10" s="106">
        <f>B44</f>
        <v/>
      </c>
      <c r="J10" s="12" t="inlineStr">
        <is>
          <t>Partner Annual (S3)</t>
        </is>
      </c>
      <c r="K10" s="106">
        <f>I27</f>
        <v/>
      </c>
    </row>
    <row r="11">
      <c r="A11" s="8" t="inlineStr">
        <is>
          <t>Total Units</t>
        </is>
      </c>
      <c r="B11" s="109">
        <f>B26</f>
        <v/>
      </c>
      <c r="G11" s="31" t="inlineStr">
        <is>
          <t>Interest Rate</t>
        </is>
      </c>
      <c r="H11" s="107">
        <f>B34</f>
        <v/>
      </c>
      <c r="J11" s="12" t="inlineStr">
        <is>
          <t>Year 5 Value (9% Cap)</t>
        </is>
      </c>
      <c r="K11" s="106">
        <f>H46</f>
        <v/>
      </c>
    </row>
    <row r="12">
      <c r="A12" s="8" t="inlineStr">
        <is>
          <t>Year Built</t>
        </is>
      </c>
      <c r="B12" s="109" t="n"/>
      <c r="G12" s="31" t="inlineStr">
        <is>
          <t>Amortization</t>
        </is>
      </c>
      <c r="H12" s="110">
        <f>B35&amp;" yrs"</f>
        <v/>
      </c>
      <c r="J12" s="12" t="inlineStr">
        <is>
          <t>Return on $50k (5yr)</t>
        </is>
      </c>
      <c r="K12" s="107">
        <f>H76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111" t="inlineStr">
        <is>
          <t xml:space="preserve">  ⚠  Blue = changeable inputs  |  Black = calculated formulas  |  Green = references  |  All scenarios update automatically when inputs change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72" t="inlineStr">
        <is>
          <t>━━━━━━━━━━━━━━━━━━━━━━━  ASSUMPTIONS  ━━━━━━━━━━━━━━━━━━━━━━━</t>
        </is>
      </c>
      <c r="E16" s="5" t="n"/>
      <c r="F16" s="72" t="inlineStr">
        <is>
          <t>━━━━━━━━━━━━  EQUITY PARTNER CASHFLOW SPLIT  ━━━━━━━━━━━━</t>
        </is>
      </c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28" t="inlineStr">
        <is>
          <t>PROPERTY INFORMATION</t>
        </is>
      </c>
      <c r="E18" s="5" t="n"/>
      <c r="F18" s="28" t="inlineStr">
        <is>
          <t>CASHFLOW SUMMARY</t>
        </is>
      </c>
      <c r="G18" s="21" t="inlineStr">
        <is>
          <t>Scenario 1
Current Expenses</t>
        </is>
      </c>
      <c r="H18" s="21" t="inlineStr">
        <is>
          <t>Scenario 2
RUBS + Trash</t>
        </is>
      </c>
      <c r="I18" s="21" t="inlineStr">
        <is>
          <t>Scenario 3
Full Value-Add</t>
        </is>
      </c>
      <c r="J18" s="5" t="n"/>
      <c r="K18" s="5" t="n"/>
      <c r="L18" s="5" t="n"/>
    </row>
    <row r="19">
      <c r="A19" s="22" t="inlineStr">
        <is>
          <t>Property Name</t>
        </is>
      </c>
      <c r="B19" s="27" t="inlineStr">
        <is>
          <t>401 Charlotte St</t>
        </is>
      </c>
      <c r="C19" s="36" t="inlineStr">
        <is>
          <t>Source: 2025 P&amp;L — Walker Apartments, Trinity Legacy LLC</t>
        </is>
      </c>
      <c r="D19" s="5" t="n"/>
      <c r="E19" s="5" t="n"/>
      <c r="F19" s="22" t="inlineStr">
        <is>
          <t>Total NOI</t>
        </is>
      </c>
      <c r="G19" s="25">
        <f>B87</f>
        <v/>
      </c>
      <c r="H19" s="25">
        <f>C87</f>
        <v/>
      </c>
      <c r="I19" s="25">
        <f>D87</f>
        <v/>
      </c>
      <c r="J19" s="5" t="n"/>
      <c r="K19" s="5" t="n"/>
      <c r="L19" s="5" t="n"/>
    </row>
    <row r="20">
      <c r="A20" s="22" t="inlineStr">
        <is>
          <t>Address</t>
        </is>
      </c>
      <c r="B20" s="27" t="inlineStr">
        <is>
          <t>401 Charlotte St</t>
        </is>
      </c>
      <c r="C20" s="5" t="n"/>
      <c r="D20" s="5" t="n"/>
      <c r="E20" s="5" t="n"/>
      <c r="F20" s="8" t="inlineStr">
        <is>
          <t>Annual Debt Service</t>
        </is>
      </c>
      <c r="G20" s="26">
        <f>B44</f>
        <v/>
      </c>
      <c r="H20" s="26">
        <f>B44</f>
        <v/>
      </c>
      <c r="I20" s="26">
        <f>B44</f>
        <v/>
      </c>
      <c r="J20" s="5" t="n"/>
      <c r="K20" s="5" t="n"/>
      <c r="L20" s="5" t="n"/>
    </row>
    <row r="21">
      <c r="A21" s="22" t="inlineStr">
        <is>
          <t>Asset Type</t>
        </is>
      </c>
      <c r="B21" s="27" t="inlineStr">
        <is>
          <t>Kansas City</t>
        </is>
      </c>
      <c r="C21" s="5" t="n"/>
      <c r="D21" s="5" t="n"/>
      <c r="E21" s="5" t="n"/>
      <c r="F21" s="22" t="inlineStr">
        <is>
          <t>Total Cashflow Available</t>
        </is>
      </c>
      <c r="G21" s="25">
        <f>B91</f>
        <v/>
      </c>
      <c r="H21" s="25">
        <f>C91</f>
        <v/>
      </c>
      <c r="I21" s="25">
        <f>D91</f>
        <v/>
      </c>
      <c r="J21" s="5" t="n"/>
      <c r="K21" s="5" t="n"/>
      <c r="L21" s="5" t="n"/>
    </row>
    <row r="22">
      <c r="A22" s="22" t="inlineStr">
        <is>
          <t>Year Built / Renovated</t>
        </is>
      </c>
      <c r="B22" s="27" t="inlineStr">
        <is>
          <t>MO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22" t="inlineStr">
        <is>
          <t>APN</t>
        </is>
      </c>
      <c r="B23" s="27" t="inlineStr">
        <is>
          <t>64106</t>
        </is>
      </c>
      <c r="C23" s="5" t="n"/>
      <c r="D23" s="5" t="n"/>
      <c r="E23" s="5" t="n"/>
      <c r="F23" s="28" t="inlineStr">
        <is>
          <t>PARTNER — EQUITY / PREFERRED RETURN</t>
        </is>
      </c>
      <c r="G23" s="29" t="n"/>
      <c r="H23" s="29" t="n"/>
      <c r="I23" s="29" t="n"/>
      <c r="J23" s="5" t="n"/>
      <c r="K23" s="5" t="n"/>
      <c r="L23" s="5" t="n"/>
    </row>
    <row r="24">
      <c r="A24" s="22" t="inlineStr">
        <is>
          <t>Gross Building SF</t>
        </is>
      </c>
      <c r="B24" s="35" t="inlineStr"/>
      <c r="C24" s="5" t="n"/>
      <c r="D24" s="5" t="n"/>
      <c r="E24" s="5" t="n"/>
      <c r="F24" s="31" t="inlineStr">
        <is>
          <t>Preferred Return</t>
        </is>
      </c>
      <c r="G24" s="32">
        <f>B46*B48</f>
        <v/>
      </c>
      <c r="H24" s="32">
        <f>B46*B48</f>
        <v/>
      </c>
      <c r="I24" s="32">
        <f>B46*B48</f>
        <v/>
      </c>
      <c r="J24" s="5" t="n"/>
      <c r="K24" s="5" t="n"/>
      <c r="L24" s="5" t="n"/>
    </row>
    <row r="25">
      <c r="A25" s="22" t="inlineStr">
        <is>
          <t>Lot Size (Acres)</t>
        </is>
      </c>
      <c r="B25" s="33" t="inlineStr">
        <is>
          <t>Multifamily</t>
        </is>
      </c>
      <c r="C25" s="5" t="n"/>
      <c r="D25" s="5" t="n"/>
      <c r="E25" s="5" t="n"/>
      <c r="F25" s="31" t="inlineStr">
        <is>
          <t>Remaining After Pref</t>
        </is>
      </c>
      <c r="G25" s="34">
        <f>G21-G24</f>
        <v/>
      </c>
      <c r="H25" s="34">
        <f>H21-G24</f>
        <v/>
      </c>
      <c r="I25" s="34">
        <f>I21-G24</f>
        <v/>
      </c>
      <c r="J25" s="5" t="n"/>
      <c r="K25" s="5" t="n"/>
      <c r="L25" s="5" t="n"/>
    </row>
    <row r="26">
      <c r="A26" s="22" t="inlineStr">
        <is>
          <t>Total Units</t>
        </is>
      </c>
      <c r="B26" s="35" t="n">
        <v>12</v>
      </c>
      <c r="C26" s="36" t="n"/>
      <c r="D26" s="5" t="n"/>
      <c r="E26" s="5" t="n"/>
      <c r="F26" s="31" t="inlineStr">
        <is>
          <t>Partner 20% of Remaining</t>
        </is>
      </c>
      <c r="G26" s="34">
        <f>G25*B49</f>
        <v/>
      </c>
      <c r="H26" s="34">
        <f>H25*B49</f>
        <v/>
      </c>
      <c r="I26" s="34">
        <f>I25*B49</f>
        <v/>
      </c>
      <c r="J26" s="5" t="n"/>
      <c r="K26" s="5" t="n"/>
      <c r="L26" s="5" t="n"/>
    </row>
    <row r="27">
      <c r="A27" s="22" t="inlineStr">
        <is>
          <t>Unit Mix</t>
        </is>
      </c>
      <c r="B27" s="27" t="n">
        <v>2023</v>
      </c>
      <c r="C27" s="5" t="n"/>
      <c r="D27" s="5" t="n"/>
      <c r="E27" s="5" t="n"/>
      <c r="F27" s="28" t="inlineStr">
        <is>
          <t>PARTNER TOTAL ANNUAL</t>
        </is>
      </c>
      <c r="G27" s="37">
        <f>G24+G26</f>
        <v/>
      </c>
      <c r="H27" s="37">
        <f>G24+H26</f>
        <v/>
      </c>
      <c r="I27" s="37">
        <f>G24+I26</f>
        <v/>
      </c>
      <c r="J27" s="5" t="n"/>
      <c r="K27" s="5" t="n"/>
      <c r="L27" s="5" t="n"/>
    </row>
    <row r="28">
      <c r="A28" s="22" t="inlineStr">
        <is>
          <t>Current Occupancy</t>
        </is>
      </c>
      <c r="B28" s="46" t="n">
        <v>0.95</v>
      </c>
      <c r="C28" s="36" t="n"/>
      <c r="D28" s="5" t="n"/>
      <c r="E28" s="5" t="n"/>
      <c r="F28" s="31" t="inlineStr">
        <is>
          <t>Partner Monthly</t>
        </is>
      </c>
      <c r="G28" s="34">
        <f>G27/12</f>
        <v/>
      </c>
      <c r="H28" s="34">
        <f>H27/12</f>
        <v/>
      </c>
      <c r="I28" s="34">
        <f>I27/12</f>
        <v/>
      </c>
      <c r="J28" s="5" t="n"/>
      <c r="K28" s="5" t="n"/>
      <c r="L28" s="5" t="n"/>
    </row>
    <row r="29">
      <c r="A29" s="22" t="inlineStr">
        <is>
          <t>Average SF Per Unit</t>
        </is>
      </c>
      <c r="B29" s="35" t="n">
        <v>0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22" t="inlineStr">
        <is>
          <t>Average Current Rent/Unit</t>
        </is>
      </c>
      <c r="B30" s="43" t="n">
        <v>0</v>
      </c>
      <c r="C30" s="36" t="n"/>
      <c r="D30" s="5" t="n"/>
      <c r="E30" s="5" t="n"/>
      <c r="F30" s="40" t="inlineStr">
        <is>
          <t>YOU — OPERATOR / 80% EQUITY</t>
        </is>
      </c>
      <c r="G30" s="41" t="n"/>
      <c r="H30" s="41" t="n"/>
      <c r="I30" s="41" t="n"/>
      <c r="J30" s="5" t="n"/>
      <c r="K30" s="5" t="n"/>
      <c r="L30" s="5" t="n"/>
    </row>
    <row r="31">
      <c r="A31" s="28" t="inlineStr">
        <is>
          <t>PURCHASE &amp; FINANCING</t>
        </is>
      </c>
      <c r="E31" s="5" t="n"/>
      <c r="F31" s="40" t="inlineStr">
        <is>
          <t>YOUR TOTAL ANNUAL</t>
        </is>
      </c>
      <c r="G31" s="42">
        <f>G21-G27</f>
        <v/>
      </c>
      <c r="H31" s="42">
        <f>H21-H27</f>
        <v/>
      </c>
      <c r="I31" s="42">
        <f>I21-I27</f>
        <v/>
      </c>
      <c r="J31" s="5" t="n"/>
      <c r="K31" s="5" t="n"/>
      <c r="L31" s="5" t="n"/>
    </row>
    <row r="32">
      <c r="A32" s="22" t="inlineStr">
        <is>
          <t>Purchase Price</t>
        </is>
      </c>
      <c r="B32" s="43" t="n">
        <v>2750000</v>
      </c>
      <c r="C32" s="36" t="n"/>
      <c r="D32" s="5" t="n"/>
      <c r="E32" s="5" t="n"/>
      <c r="F32" s="44" t="inlineStr">
        <is>
          <t>Your Monthly</t>
        </is>
      </c>
      <c r="G32" s="45">
        <f>G31/12</f>
        <v/>
      </c>
      <c r="H32" s="45">
        <f>H31/12</f>
        <v/>
      </c>
      <c r="I32" s="45">
        <f>I31/12</f>
        <v/>
      </c>
      <c r="J32" s="5" t="n"/>
      <c r="K32" s="5" t="n"/>
      <c r="L32" s="5" t="n"/>
    </row>
    <row r="33">
      <c r="A33" s="22" t="inlineStr">
        <is>
          <t>Down Payment %</t>
        </is>
      </c>
      <c r="B33" s="46" t="n">
        <v>0.4</v>
      </c>
      <c r="C33" s="36" t="n"/>
      <c r="D33" s="5" t="n"/>
      <c r="E33" s="5" t="n"/>
      <c r="F33" s="12" t="inlineStr">
        <is>
          <t>Your CoC Return (on $50,000)</t>
        </is>
      </c>
      <c r="G33" s="47">
        <f>G31/B47</f>
        <v/>
      </c>
      <c r="H33" s="47">
        <f>H31/B47</f>
        <v/>
      </c>
      <c r="I33" s="47">
        <f>I31/B47</f>
        <v/>
      </c>
      <c r="J33" s="5" t="n"/>
      <c r="K33" s="5" t="n"/>
      <c r="L33" s="5" t="n"/>
    </row>
    <row r="34">
      <c r="A34" s="22" t="inlineStr">
        <is>
          <t>Interest Rate</t>
        </is>
      </c>
      <c r="B34" s="46" t="n">
        <v>0.06</v>
      </c>
      <c r="C34" s="36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22" t="inlineStr">
        <is>
          <t>Amortization (Years)</t>
        </is>
      </c>
      <c r="B35" s="35" t="n">
        <v>0</v>
      </c>
      <c r="C35" s="36" t="n"/>
      <c r="D35" s="5" t="n"/>
      <c r="E35" s="5" t="n"/>
      <c r="F35" s="48" t="inlineStr">
        <is>
          <t>5-YEAR ACCUMULATION</t>
        </is>
      </c>
      <c r="G35" s="49" t="n"/>
      <c r="H35" s="49" t="n"/>
      <c r="I35" s="49" t="n"/>
      <c r="J35" s="5" t="n"/>
      <c r="K35" s="5" t="n"/>
      <c r="L35" s="5" t="n"/>
    </row>
    <row r="36">
      <c r="A36" s="22" t="inlineStr">
        <is>
          <t>Closing Costs %</t>
        </is>
      </c>
      <c r="B36" s="46" t="n">
        <v>0</v>
      </c>
      <c r="C36" s="36" t="n"/>
      <c r="D36" s="5" t="n"/>
      <c r="E36" s="5" t="n"/>
      <c r="F36" s="44" t="inlineStr">
        <is>
          <t>Your 5-Year Distributions</t>
        </is>
      </c>
      <c r="G36" s="45">
        <f>G31*5</f>
        <v/>
      </c>
      <c r="H36" s="45">
        <f>H31*5</f>
        <v/>
      </c>
      <c r="I36" s="45">
        <f>I31*5</f>
        <v/>
      </c>
      <c r="J36" s="5" t="n"/>
      <c r="K36" s="5" t="n"/>
      <c r="L36" s="5" t="n"/>
    </row>
    <row r="37">
      <c r="A37" s="22" t="inlineStr">
        <is>
          <t>Working Capital ($)</t>
        </is>
      </c>
      <c r="B37" s="43" t="n">
        <v>0</v>
      </c>
      <c r="C37" s="36" t="n"/>
      <c r="D37" s="5" t="n"/>
      <c r="E37" s="5" t="n"/>
      <c r="F37" s="50" t="inlineStr">
        <is>
          <t>Partner 5-Year Distributions</t>
        </is>
      </c>
      <c r="G37" s="51">
        <f>G27*5</f>
        <v/>
      </c>
      <c r="H37" s="51">
        <f>H27*5</f>
        <v/>
      </c>
      <c r="I37" s="51">
        <f>I27*5</f>
        <v/>
      </c>
      <c r="J37" s="5" t="n"/>
      <c r="K37" s="5" t="n"/>
      <c r="L37" s="5" t="n"/>
    </row>
    <row r="38">
      <c r="A38" s="50" t="inlineStr">
        <is>
          <t>Down Payment ($)</t>
        </is>
      </c>
      <c r="B38" s="52">
        <f>B32*B33</f>
        <v/>
      </c>
      <c r="C38" s="5" t="n"/>
      <c r="D38" s="5" t="n"/>
      <c r="E38" s="5" t="n"/>
      <c r="F38" s="22" t="inlineStr">
        <is>
          <t>Total Distributions Combined</t>
        </is>
      </c>
      <c r="G38" s="53">
        <f>G36+G37</f>
        <v/>
      </c>
      <c r="H38" s="53">
        <f>H36+H37</f>
        <v/>
      </c>
      <c r="I38" s="53">
        <f>I36+I37</f>
        <v/>
      </c>
      <c r="J38" s="5" t="n"/>
      <c r="K38" s="5" t="n"/>
      <c r="L38" s="5" t="n"/>
    </row>
    <row r="39">
      <c r="A39" s="50" t="inlineStr">
        <is>
          <t>CALCULATED FINANCING — do not edit (black = formula)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0" t="inlineStr">
        <is>
          <t>Loan Amount</t>
        </is>
      </c>
      <c r="B40" s="52">
        <f>B32-B38</f>
        <v/>
      </c>
      <c r="C40" s="5" t="n"/>
      <c r="D40" s="5" t="n"/>
      <c r="E40" s="5" t="n"/>
      <c r="F40" s="72" t="inlineStr">
        <is>
          <t>━━━━━━━━━━━━  YEAR 5 BUYOUT ANALYSIS  ━━━━━━━━━━━━</t>
        </is>
      </c>
      <c r="J40" s="5" t="n"/>
      <c r="K40" s="5" t="n"/>
      <c r="L40" s="5" t="n"/>
    </row>
    <row r="41">
      <c r="A41" s="50" t="inlineStr">
        <is>
          <t>Closing Costs ($)</t>
        </is>
      </c>
      <c r="B41" s="52">
        <f>B32*B36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0" t="inlineStr">
        <is>
          <t>Total Cash to Close</t>
        </is>
      </c>
      <c r="B42" s="52">
        <f>B38+B41+B37</f>
        <v/>
      </c>
      <c r="C42" s="5" t="n"/>
      <c r="D42" s="5" t="n"/>
      <c r="E42" s="5" t="n"/>
      <c r="F42" s="64" t="n"/>
      <c r="G42" s="64" t="inlineStr">
        <is>
          <t>Conservative
10.5% Exit Cap</t>
        </is>
      </c>
      <c r="H42" s="64" t="inlineStr">
        <is>
          <t>Realistic
9% Exit Cap</t>
        </is>
      </c>
      <c r="I42" s="64" t="inlineStr">
        <is>
          <t>Optimistic
8% Exit Cap</t>
        </is>
      </c>
      <c r="J42" s="5" t="n"/>
      <c r="K42" s="5" t="n"/>
      <c r="L42" s="5" t="n"/>
    </row>
    <row r="43">
      <c r="A43" s="50" t="inlineStr">
        <is>
          <t>Monthly Debt Service</t>
        </is>
      </c>
      <c r="B43" s="52">
        <f>IFERROR(B40*(B34/12)/(1-(1+B34/12)^(-B35*12)),0)</f>
        <v/>
      </c>
      <c r="C43" s="5" t="n"/>
      <c r="D43" s="5" t="n"/>
      <c r="E43" s="5" t="n"/>
      <c r="F43" s="28" t="inlineStr">
        <is>
          <t>PROPERTY VALUATION AT YEAR 5 (Stabilized Full Value-Add NOI)</t>
        </is>
      </c>
      <c r="G43" s="56" t="n"/>
      <c r="H43" s="56" t="n"/>
      <c r="I43" s="56" t="n"/>
      <c r="J43" s="5" t="n"/>
      <c r="K43" s="5" t="n"/>
      <c r="L43" s="5" t="n"/>
    </row>
    <row r="44">
      <c r="A44" s="50" t="inlineStr">
        <is>
          <t>Annual Debt Service</t>
        </is>
      </c>
      <c r="B44" s="52">
        <f>B43*12</f>
        <v/>
      </c>
      <c r="C44" s="5" t="n"/>
      <c r="D44" s="5" t="n"/>
      <c r="E44" s="5" t="n"/>
      <c r="F44" s="8" t="inlineStr">
        <is>
          <t>Stabilized NOI (Full Value-Add)</t>
        </is>
      </c>
      <c r="G44" s="26">
        <f>D87</f>
        <v/>
      </c>
      <c r="H44" s="26">
        <f>D87</f>
        <v/>
      </c>
      <c r="I44" s="26">
        <f>D87</f>
        <v/>
      </c>
      <c r="J44" s="5" t="n"/>
      <c r="K44" s="5" t="n"/>
      <c r="L44" s="5" t="n"/>
    </row>
    <row r="45">
      <c r="A45" s="28" t="inlineStr">
        <is>
          <t>EQUITY PARTNER STRUCTURE</t>
        </is>
      </c>
      <c r="E45" s="5" t="n"/>
      <c r="F45" s="8" t="inlineStr">
        <is>
          <t>Exit Cap Rate</t>
        </is>
      </c>
      <c r="G45" s="57">
        <f>B56</f>
        <v/>
      </c>
      <c r="H45" s="57">
        <f>B57</f>
        <v/>
      </c>
      <c r="I45" s="58" t="n"/>
      <c r="J45" s="5" t="n"/>
      <c r="K45" s="5" t="n"/>
      <c r="L45" s="5" t="n"/>
    </row>
    <row r="46">
      <c r="A46" s="22" t="inlineStr">
        <is>
          <t>Investor Contribution ($)</t>
        </is>
      </c>
      <c r="B46" s="43" t="n">
        <v>0</v>
      </c>
      <c r="C46" s="36" t="n"/>
      <c r="D46" s="5" t="n"/>
      <c r="E46" s="5" t="n"/>
      <c r="F46" s="59" t="inlineStr">
        <is>
          <t>Year 5 Property Value (NOI ÷ Cap Rate)</t>
        </is>
      </c>
      <c r="G46" s="60">
        <f>G44/G45</f>
        <v/>
      </c>
      <c r="H46" s="60">
        <f>G44/H45</f>
        <v/>
      </c>
      <c r="I46" s="60">
        <f>G44/I45</f>
        <v/>
      </c>
      <c r="J46" s="5" t="n"/>
      <c r="K46" s="5" t="n"/>
      <c r="L46" s="5" t="n"/>
    </row>
    <row r="47">
      <c r="A47" s="22" t="inlineStr">
        <is>
          <t>Your Contribution ($)</t>
        </is>
      </c>
      <c r="B47" s="43" t="n">
        <v>0</v>
      </c>
      <c r="C47" s="36" t="n"/>
      <c r="D47" s="5" t="n"/>
      <c r="E47" s="5" t="n"/>
      <c r="F47" s="8" t="inlineStr">
        <is>
          <t>Original Purchase Price</t>
        </is>
      </c>
      <c r="G47" s="26">
        <f>B32</f>
        <v/>
      </c>
      <c r="H47" s="26">
        <f>B32</f>
        <v/>
      </c>
      <c r="I47" s="26">
        <f>B32</f>
        <v/>
      </c>
      <c r="J47" s="5" t="n"/>
      <c r="K47" s="5" t="n"/>
      <c r="L47" s="5" t="n"/>
    </row>
    <row r="48">
      <c r="A48" s="22" t="inlineStr">
        <is>
          <t>Preferred Return %</t>
        </is>
      </c>
      <c r="B48" s="46" t="n">
        <v>0.08</v>
      </c>
      <c r="C48" s="36" t="n"/>
      <c r="D48" s="5" t="n"/>
      <c r="E48" s="5" t="n"/>
      <c r="F48" s="44" t="inlineStr">
        <is>
          <t>Forced Appreciation Created</t>
        </is>
      </c>
      <c r="G48" s="45">
        <f>G46-G47</f>
        <v/>
      </c>
      <c r="H48" s="45">
        <f>H46-H47</f>
        <v/>
      </c>
      <c r="I48" s="45">
        <f>I46-I47</f>
        <v/>
      </c>
      <c r="J48" s="5" t="n"/>
      <c r="K48" s="5" t="n"/>
      <c r="L48" s="5" t="n"/>
    </row>
    <row r="49">
      <c r="A49" s="22" t="inlineStr">
        <is>
          <t>Partner Equity %</t>
        </is>
      </c>
      <c r="B49" s="46" t="n">
        <v>0.2</v>
      </c>
      <c r="C49" s="36" t="n"/>
      <c r="D49" s="5" t="n"/>
      <c r="E49" s="5" t="n"/>
      <c r="F49" s="28" t="inlineStr">
        <is>
          <t>LOAN BALANCE AT YEAR 5</t>
        </is>
      </c>
      <c r="G49" s="56" t="n"/>
      <c r="H49" s="56" t="n"/>
      <c r="I49" s="56" t="n"/>
      <c r="J49" s="5" t="n"/>
      <c r="K49" s="5" t="n"/>
      <c r="L49" s="5" t="n"/>
    </row>
    <row r="50">
      <c r="A50" s="22" t="inlineStr">
        <is>
          <t>Your Equity %</t>
        </is>
      </c>
      <c r="B50" s="46" t="n">
        <v>0.8</v>
      </c>
      <c r="C50" s="36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28" t="inlineStr">
        <is>
          <t>VALUE-ADD ASSUMPTIONS</t>
        </is>
      </c>
      <c r="E51" s="5" t="n"/>
      <c r="F51" s="61" t="inlineStr">
        <is>
          <t>Remaining Loan Balance</t>
        </is>
      </c>
      <c r="G51" s="62">
        <f>IFERROR(B43*(1-(1+B34/12)^(-(B35*12-60)))/(B34/12),0)</f>
        <v/>
      </c>
      <c r="H51" s="62">
        <f>IFERROR(B43*(1-(1+B34/12)^(-(B35*12-60)))/(B34/12),0)</f>
        <v/>
      </c>
      <c r="I51" s="62">
        <f>IFERROR(B43*(1-(1+B34/12)^(-(B35*12-60)))/(B34/12),0)</f>
        <v/>
      </c>
      <c r="J51" s="5" t="n"/>
      <c r="K51" s="5" t="n"/>
      <c r="L51" s="5" t="n"/>
    </row>
    <row r="52">
      <c r="A52" s="22" t="inlineStr">
        <is>
          <t>Rent Bump / Unit / Mo ($)</t>
        </is>
      </c>
      <c r="B52" s="43" t="n">
        <v>0</v>
      </c>
      <c r="C52" s="36" t="n"/>
      <c r="D52" s="5" t="n"/>
      <c r="E52" s="5" t="n"/>
      <c r="F52" s="59" t="inlineStr">
        <is>
          <t>Total Equity in Property</t>
        </is>
      </c>
      <c r="G52" s="63">
        <f>G46-G51</f>
        <v/>
      </c>
      <c r="H52" s="63">
        <f>H46-G51</f>
        <v/>
      </c>
      <c r="I52" s="63">
        <f>I46-G51</f>
        <v/>
      </c>
      <c r="J52" s="5" t="n"/>
      <c r="K52" s="5" t="n"/>
      <c r="L52" s="5" t="n"/>
    </row>
    <row r="53">
      <c r="A53" s="22" t="inlineStr">
        <is>
          <t>RUBS Recovery / Year ($)</t>
        </is>
      </c>
      <c r="B53" s="43" t="n">
        <v>0</v>
      </c>
      <c r="C53" s="36" t="n"/>
      <c r="D53" s="5" t="n"/>
      <c r="E53" s="5" t="n"/>
      <c r="F53" s="28" t="inlineStr">
        <is>
          <t>CASH-OUT REFI SCENARIOS</t>
        </is>
      </c>
      <c r="G53" s="56" t="n"/>
      <c r="H53" s="56" t="n"/>
      <c r="I53" s="56" t="n"/>
      <c r="J53" s="5" t="n"/>
      <c r="K53" s="5" t="n"/>
      <c r="L53" s="5" t="n"/>
    </row>
    <row r="54">
      <c r="A54" s="22" t="inlineStr">
        <is>
          <t>Trash Fee / Unit / Mo ($)</t>
        </is>
      </c>
      <c r="B54" s="43" t="n">
        <v>0</v>
      </c>
      <c r="C54" s="36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22" t="inlineStr">
        <is>
          <t>Annual Appreciation Rate</t>
        </is>
      </c>
      <c r="B55" s="46" t="n">
        <v>0</v>
      </c>
      <c r="C55" s="36" t="n"/>
      <c r="D55" s="5" t="n"/>
      <c r="E55" s="5" t="n"/>
      <c r="F55" s="31" t="inlineStr">
        <is>
          <t>70% LTV — New Loan Amount</t>
        </is>
      </c>
      <c r="G55" s="34">
        <f>G46*0.7</f>
        <v/>
      </c>
      <c r="H55" s="34">
        <f>H46*0.7</f>
        <v/>
      </c>
      <c r="I55" s="34">
        <f>I46*0.7</f>
        <v/>
      </c>
      <c r="J55" s="5" t="n"/>
      <c r="K55" s="5" t="n"/>
      <c r="L55" s="5" t="n"/>
    </row>
    <row r="56">
      <c r="A56" s="22" t="inlineStr">
        <is>
          <t>Exit Cap — Conservative</t>
        </is>
      </c>
      <c r="B56" s="46" t="n">
        <v>0</v>
      </c>
      <c r="C56" s="36" t="n"/>
      <c r="D56" s="5" t="n"/>
      <c r="E56" s="5" t="n"/>
      <c r="F56" s="31" t="inlineStr">
        <is>
          <t>75% LTV — New Loan Amount</t>
        </is>
      </c>
      <c r="G56" s="34">
        <f>G46*0.75</f>
        <v/>
      </c>
      <c r="H56" s="34">
        <f>H46*0.75</f>
        <v/>
      </c>
      <c r="I56" s="34">
        <f>I46*0.75</f>
        <v/>
      </c>
      <c r="J56" s="5" t="n"/>
      <c r="K56" s="5" t="n"/>
      <c r="L56" s="5" t="n"/>
    </row>
    <row r="57">
      <c r="A57" s="22" t="inlineStr">
        <is>
          <t>Exit Cap — Market</t>
        </is>
      </c>
      <c r="B57" s="46" t="n">
        <v>0.07000000000000001</v>
      </c>
      <c r="C57" s="36" t="n"/>
      <c r="D57" s="5" t="n"/>
      <c r="E57" s="5" t="n"/>
      <c r="F57" s="31" t="inlineStr">
        <is>
          <t>80% LTV — New Loan Amount</t>
        </is>
      </c>
      <c r="G57" s="34">
        <f>G46*0.8</f>
        <v/>
      </c>
      <c r="H57" s="34">
        <f>H46*0.8</f>
        <v/>
      </c>
      <c r="I57" s="34">
        <f>I46*0.8</f>
        <v/>
      </c>
      <c r="J57" s="5" t="n"/>
      <c r="K57" s="5" t="n"/>
      <c r="L57" s="5" t="n"/>
    </row>
    <row r="58">
      <c r="A58" s="22" t="inlineStr">
        <is>
          <t>Hold Period (Years)</t>
        </is>
      </c>
      <c r="B58" s="35" t="n">
        <v>5</v>
      </c>
      <c r="C58" s="36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44" t="inlineStr">
        <is>
          <t>70% LTV — Net Cash Out After Payoff</t>
        </is>
      </c>
      <c r="G59" s="45">
        <f>G55-G51</f>
        <v/>
      </c>
      <c r="H59" s="45">
        <f>H55-G51</f>
        <v/>
      </c>
      <c r="I59" s="45">
        <f>I55-G51</f>
        <v/>
      </c>
      <c r="J59" s="5" t="n"/>
      <c r="K59" s="5" t="n"/>
      <c r="L59" s="5" t="n"/>
    </row>
    <row r="60">
      <c r="A60" s="72" t="inlineStr">
        <is>
          <t>━━━━━━━━━━━━  CASHFLOW SCENARIOS  ━━━━━━━━━━━━</t>
        </is>
      </c>
      <c r="E60" s="5" t="n"/>
      <c r="F60" s="44" t="inlineStr">
        <is>
          <t>75% LTV — Net Cash Out After Payoff</t>
        </is>
      </c>
      <c r="G60" s="45">
        <f>G56-G51</f>
        <v/>
      </c>
      <c r="H60" s="45">
        <f>H56-G51</f>
        <v/>
      </c>
      <c r="I60" s="45">
        <f>I56-G51</f>
        <v/>
      </c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44" t="inlineStr">
        <is>
          <t>80% LTV — Net Cash Out After Payoff</t>
        </is>
      </c>
      <c r="G61" s="45">
        <f>G57-G51</f>
        <v/>
      </c>
      <c r="H61" s="45">
        <f>H57-G51</f>
        <v/>
      </c>
      <c r="I61" s="45">
        <f>I57-G51</f>
        <v/>
      </c>
      <c r="J61" s="5" t="n"/>
      <c r="K61" s="5" t="n"/>
      <c r="L61" s="5" t="n"/>
    </row>
    <row r="62">
      <c r="A62" s="64" t="n"/>
      <c r="B62" s="64" t="inlineStr">
        <is>
          <t>Scenario 1
Current Expenses</t>
        </is>
      </c>
      <c r="C62" s="64" t="inlineStr">
        <is>
          <t>Scenario 2
RUBS + Trash</t>
        </is>
      </c>
      <c r="D62" s="64" t="inlineStr">
        <is>
          <t>Scenario 3
Full Value-Add
(+Rent Bump)</t>
        </is>
      </c>
      <c r="E62" s="5" t="n"/>
      <c r="F62" s="40" t="inlineStr">
        <is>
          <t>PARTNER BUYOUT — Capital Owed at Year 5</t>
        </is>
      </c>
      <c r="G62" s="65" t="n"/>
      <c r="H62" s="65" t="n"/>
      <c r="I62" s="65" t="n"/>
      <c r="J62" s="5" t="n"/>
      <c r="K62" s="5" t="n"/>
      <c r="L62" s="5" t="n"/>
    </row>
    <row r="63">
      <c r="A63" s="22" t="inlineStr">
        <is>
          <t>Scheduled Gross Income</t>
        </is>
      </c>
      <c r="B63" s="67" t="n">
        <v>217827.19</v>
      </c>
      <c r="C63" s="67" t="n">
        <v>217827.19</v>
      </c>
      <c r="D63" s="67">
        <f>B63+B52*12*B26*B28</f>
        <v/>
      </c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68" t="inlineStr">
        <is>
          <t>Less: Vacancy (10%)</t>
        </is>
      </c>
      <c r="B64" s="67">
        <f>-B63*0.1</f>
        <v/>
      </c>
      <c r="C64" s="67">
        <f>-C63*0.1</f>
        <v/>
      </c>
      <c r="D64" s="67">
        <f>-D63*0.1</f>
        <v/>
      </c>
      <c r="E64" s="5" t="n"/>
      <c r="F64" s="61" t="inlineStr">
        <is>
          <t>Partner Capital to Return</t>
        </is>
      </c>
      <c r="G64" s="69">
        <f>B46</f>
        <v/>
      </c>
      <c r="H64" s="69">
        <f>B46</f>
        <v/>
      </c>
      <c r="I64" s="69">
        <f>B46</f>
        <v/>
      </c>
      <c r="J64" s="5" t="n"/>
      <c r="K64" s="5" t="n"/>
      <c r="L64" s="5" t="n"/>
    </row>
    <row r="65">
      <c r="A65" s="68" t="inlineStr">
        <is>
          <t>Other Income (Late Fees/Deposits)</t>
        </is>
      </c>
      <c r="B65" s="67" t="n">
        <v>0</v>
      </c>
      <c r="C65" s="67" t="n">
        <v>0</v>
      </c>
      <c r="D65" s="67" t="n">
        <v>0</v>
      </c>
      <c r="E65" s="5" t="n"/>
      <c r="F65" s="31" t="inlineStr">
        <is>
          <t>Refi Cash Out (70% LTV)</t>
        </is>
      </c>
      <c r="G65" s="34">
        <f>G59</f>
        <v/>
      </c>
      <c r="H65" s="34">
        <f>H59</f>
        <v/>
      </c>
      <c r="I65" s="34">
        <f>I59</f>
        <v/>
      </c>
      <c r="J65" s="5" t="n"/>
      <c r="K65" s="5" t="n"/>
      <c r="L65" s="5" t="n"/>
    </row>
    <row r="66">
      <c r="A66" s="68" t="inlineStr">
        <is>
          <t>RUBS Recovery</t>
        </is>
      </c>
      <c r="B66" s="67" t="n"/>
      <c r="C66" s="70">
        <f>B53</f>
        <v/>
      </c>
      <c r="D66" s="70">
        <f>B53</f>
        <v/>
      </c>
      <c r="E66" s="5" t="n"/>
      <c r="F66" s="44" t="inlineStr">
        <is>
          <t xml:space="preserve">  → Surplus / (Shortfall) at 70% LTV</t>
        </is>
      </c>
      <c r="G66" s="45">
        <f>G65-G64</f>
        <v/>
      </c>
      <c r="H66" s="45">
        <f>H65-G64</f>
        <v/>
      </c>
      <c r="I66" s="45">
        <f>I65-G64</f>
        <v/>
      </c>
      <c r="J66" s="5" t="n"/>
      <c r="K66" s="5" t="n"/>
      <c r="L66" s="5" t="n"/>
    </row>
    <row r="67">
      <c r="A67" s="68" t="inlineStr">
        <is>
          <t>Trash Fee Income</t>
        </is>
      </c>
      <c r="B67" s="67" t="n"/>
      <c r="C67" s="70">
        <f>B54*12*B26*B28</f>
        <v/>
      </c>
      <c r="D67" s="70">
        <f>B54*12*B26*B28</f>
        <v/>
      </c>
      <c r="E67" s="5" t="n"/>
      <c r="F67" s="31" t="inlineStr">
        <is>
          <t>Refi Cash Out (75% LTV)</t>
        </is>
      </c>
      <c r="G67" s="34">
        <f>G60</f>
        <v/>
      </c>
      <c r="H67" s="34">
        <f>H60</f>
        <v/>
      </c>
      <c r="I67" s="34">
        <f>I60</f>
        <v/>
      </c>
      <c r="J67" s="5" t="n"/>
      <c r="K67" s="5" t="n"/>
      <c r="L67" s="5" t="n"/>
    </row>
    <row r="68">
      <c r="A68" s="28" t="inlineStr">
        <is>
          <t>GROSS OPERATING INCOME</t>
        </is>
      </c>
      <c r="B68" s="37">
        <f>SUM(B63:B67)</f>
        <v/>
      </c>
      <c r="C68" s="37">
        <f>SUM(C63:C67)</f>
        <v/>
      </c>
      <c r="D68" s="37">
        <f>SUM(D63:D67)</f>
        <v/>
      </c>
      <c r="E68" s="5" t="n"/>
      <c r="F68" s="44" t="inlineStr">
        <is>
          <t xml:space="preserve">  → Surplus / (Shortfall) at 75% LTV</t>
        </is>
      </c>
      <c r="G68" s="45">
        <f>G67-G64</f>
        <v/>
      </c>
      <c r="H68" s="45">
        <f>H67-G64</f>
        <v/>
      </c>
      <c r="I68" s="45">
        <f>I67-G64</f>
        <v/>
      </c>
      <c r="J68" s="5" t="n"/>
      <c r="K68" s="5" t="n"/>
      <c r="L68" s="5" t="n"/>
    </row>
    <row r="69">
      <c r="A69" s="28" t="inlineStr">
        <is>
          <t>EXPENSES</t>
        </is>
      </c>
      <c r="B69" s="56" t="n"/>
      <c r="C69" s="56" t="n"/>
      <c r="D69" s="56" t="n"/>
      <c r="E69" s="5" t="n"/>
      <c r="F69" s="31" t="inlineStr">
        <is>
          <t>Refi Cash Out (80% LTV)</t>
        </is>
      </c>
      <c r="G69" s="34">
        <f>G61</f>
        <v/>
      </c>
      <c r="H69" s="34">
        <f>H61</f>
        <v/>
      </c>
      <c r="I69" s="34">
        <f>I61</f>
        <v/>
      </c>
      <c r="J69" s="5" t="n"/>
      <c r="K69" s="5" t="n"/>
      <c r="L69" s="5" t="n"/>
    </row>
    <row r="70">
      <c r="A70" s="68" t="inlineStr">
        <is>
          <t>Property Tax</t>
        </is>
      </c>
      <c r="B70" s="67" t="n">
        <v>4074.12</v>
      </c>
      <c r="C70" s="67" t="n">
        <v>4074.12</v>
      </c>
      <c r="D70" s="67" t="n">
        <v>4074.12</v>
      </c>
      <c r="E70" s="5" t="n"/>
      <c r="F70" s="44" t="inlineStr">
        <is>
          <t xml:space="preserve">  → Surplus / (Shortfall) at 80% LTV</t>
        </is>
      </c>
      <c r="G70" s="45">
        <f>G69-G64</f>
        <v/>
      </c>
      <c r="H70" s="45">
        <f>H69-G64</f>
        <v/>
      </c>
      <c r="I70" s="45">
        <f>I69-G64</f>
        <v/>
      </c>
      <c r="J70" s="5" t="n"/>
      <c r="K70" s="5" t="n"/>
      <c r="L70" s="5" t="n"/>
    </row>
    <row r="71">
      <c r="A71" s="68" t="inlineStr">
        <is>
          <t>Insurance</t>
        </is>
      </c>
      <c r="B71" s="67" t="n">
        <v>11870</v>
      </c>
      <c r="C71" s="67" t="n">
        <v>11870</v>
      </c>
      <c r="D71" s="67" t="n">
        <v>11870</v>
      </c>
      <c r="E71" s="5" t="n"/>
      <c r="F71" s="48" t="inlineStr">
        <is>
          <t>YOUR 5-YEAR TOTAL OUTCOME</t>
        </is>
      </c>
      <c r="G71" s="49" t="n"/>
      <c r="H71" s="49" t="n"/>
      <c r="I71" s="49" t="n"/>
      <c r="J71" s="5" t="n"/>
      <c r="K71" s="5" t="n"/>
      <c r="L71" s="5" t="n"/>
    </row>
    <row r="72">
      <c r="A72" s="68" t="inlineStr">
        <is>
          <t>Management (6% of GOI)</t>
        </is>
      </c>
      <c r="B72" s="67" t="n"/>
      <c r="C72" s="67" t="n"/>
      <c r="D72" s="67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68" t="inlineStr">
        <is>
          <t>Repairs &amp; Maintenance</t>
        </is>
      </c>
      <c r="B73" s="67" t="n">
        <v>7699.46</v>
      </c>
      <c r="C73" s="67" t="n">
        <v>7699.46</v>
      </c>
      <c r="D73" s="67" t="n">
        <v>7699.46</v>
      </c>
      <c r="E73" s="5" t="n"/>
      <c r="F73" s="44" t="inlineStr">
        <is>
          <t>Your 5-Year Distributions (Full Value-Add)</t>
        </is>
      </c>
      <c r="G73" s="71">
        <f>I36</f>
        <v/>
      </c>
      <c r="H73" s="71">
        <f>I36</f>
        <v/>
      </c>
      <c r="I73" s="71">
        <f>I36</f>
        <v/>
      </c>
      <c r="J73" s="5" t="n"/>
      <c r="K73" s="5" t="n"/>
      <c r="L73" s="5" t="n"/>
    </row>
    <row r="74">
      <c r="A74" s="68" t="inlineStr">
        <is>
          <t>Turnover / Cleaning</t>
        </is>
      </c>
      <c r="B74" s="67" t="n">
        <v>0</v>
      </c>
      <c r="C74" s="67" t="n">
        <v>0</v>
      </c>
      <c r="D74" s="67" t="n">
        <v>0</v>
      </c>
      <c r="E74" s="5" t="n"/>
      <c r="F74" s="59" t="inlineStr">
        <is>
          <t>Cash Kept After 75% LTV Buyout</t>
        </is>
      </c>
      <c r="G74" s="63">
        <f>MAX(G60-G64,0)</f>
        <v/>
      </c>
      <c r="H74" s="63">
        <f>MAX(H60-G64,0)</f>
        <v/>
      </c>
      <c r="I74" s="63">
        <f>MAX(I60-G64,0)</f>
        <v/>
      </c>
      <c r="J74" s="5" t="n"/>
      <c r="K74" s="5" t="n"/>
      <c r="L74" s="5" t="n"/>
    </row>
    <row r="75">
      <c r="A75" s="68" t="inlineStr">
        <is>
          <t>Landscaping</t>
        </is>
      </c>
      <c r="B75" s="67" t="n">
        <v>900</v>
      </c>
      <c r="C75" s="67" t="n">
        <v>900</v>
      </c>
      <c r="D75" s="67" t="n">
        <v>900</v>
      </c>
      <c r="E75" s="5" t="n"/>
      <c r="F75" s="72" t="inlineStr">
        <is>
          <t>TOTAL IN YOUR POCKET (Distributions + Surplus)</t>
        </is>
      </c>
      <c r="G75" s="73">
        <f>G73+G74</f>
        <v/>
      </c>
      <c r="H75" s="73">
        <f>G73+H74</f>
        <v/>
      </c>
      <c r="I75" s="73">
        <f>G73+I74</f>
        <v/>
      </c>
      <c r="J75" s="5" t="n"/>
      <c r="K75" s="5" t="n"/>
      <c r="L75" s="5" t="n"/>
    </row>
    <row r="76">
      <c r="A76" s="68" t="inlineStr">
        <is>
          <t>Payroll</t>
        </is>
      </c>
      <c r="B76" s="67" t="n">
        <v>0</v>
      </c>
      <c r="C76" s="67" t="n">
        <v>0</v>
      </c>
      <c r="D76" s="67" t="n">
        <v>0</v>
      </c>
      <c r="E76" s="5" t="n"/>
      <c r="F76" s="44" t="inlineStr">
        <is>
          <t>Return on Your $50,000</t>
        </is>
      </c>
      <c r="G76" s="74">
        <f>G75/B47</f>
        <v/>
      </c>
      <c r="H76" s="74">
        <f>G75/B47</f>
        <v/>
      </c>
      <c r="I76" s="74">
        <f>G75/B47</f>
        <v/>
      </c>
      <c r="J76" s="5" t="n"/>
      <c r="K76" s="5" t="n"/>
      <c r="L76" s="5" t="n"/>
    </row>
    <row r="77">
      <c r="A77" s="68" t="inlineStr">
        <is>
          <t>Water / Sewer</t>
        </is>
      </c>
      <c r="B77" s="67" t="n">
        <v>5209</v>
      </c>
      <c r="C77" s="67" t="n">
        <v>5209</v>
      </c>
      <c r="D77" s="67" t="n">
        <v>5209</v>
      </c>
      <c r="E77" s="5" t="n"/>
      <c r="F77" s="112" t="inlineStr">
        <is>
          <t>* Practical realistic scenario = Conservative exit cap. Adjust assumptions above to model scenarios.</t>
        </is>
      </c>
      <c r="J77" s="5" t="n"/>
      <c r="K77" s="5" t="n"/>
      <c r="L77" s="5" t="n"/>
    </row>
    <row r="78">
      <c r="A78" s="68" t="inlineStr">
        <is>
          <t>Electricity (Common Only)</t>
        </is>
      </c>
      <c r="B78" s="76" t="n">
        <v>11207</v>
      </c>
      <c r="C78" s="67" t="n">
        <v>11207</v>
      </c>
      <c r="D78" s="67" t="n">
        <v>11207</v>
      </c>
      <c r="E78" s="77" t="inlineStr">
        <is>
          <t>Includes Gas ($2,738) — no separate line in model</t>
        </is>
      </c>
      <c r="F78" s="5" t="n"/>
      <c r="G78" s="5" t="n"/>
      <c r="H78" s="5" t="n"/>
      <c r="I78" s="5" t="n"/>
      <c r="J78" s="5" t="n"/>
      <c r="K78" s="5" t="n"/>
      <c r="L78" s="5" t="n"/>
    </row>
    <row r="79">
      <c r="A79" s="68" t="inlineStr">
        <is>
          <t>Pest Control</t>
        </is>
      </c>
      <c r="B79" s="67" t="n">
        <v>0</v>
      </c>
      <c r="C79" s="67" t="n">
        <v>0</v>
      </c>
      <c r="D79" s="67" t="n">
        <v>0</v>
      </c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68" t="inlineStr">
        <is>
          <t>Trash Service</t>
        </is>
      </c>
      <c r="B80" s="67" t="n">
        <v>2794</v>
      </c>
      <c r="C80" s="67" t="n">
        <v>2794</v>
      </c>
      <c r="D80" s="67" t="n">
        <v>2794</v>
      </c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68" t="inlineStr">
        <is>
          <t>General Admin</t>
        </is>
      </c>
      <c r="B81" s="67" t="n">
        <v>4676.5</v>
      </c>
      <c r="C81" s="67" t="n">
        <v>4676.5</v>
      </c>
      <c r="D81" s="67" t="n">
        <v>4676.5</v>
      </c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68" t="inlineStr">
        <is>
          <t>Marketing</t>
        </is>
      </c>
      <c r="B82" s="67" t="n">
        <v>0</v>
      </c>
      <c r="C82" s="67" t="n">
        <v>0</v>
      </c>
      <c r="D82" s="67" t="n">
        <v>0</v>
      </c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68" t="inlineStr">
        <is>
          <t>Reserves</t>
        </is>
      </c>
      <c r="B83" s="67" t="n">
        <v>0</v>
      </c>
      <c r="C83" s="67" t="n">
        <v>0</v>
      </c>
      <c r="D83" s="67" t="n">
        <v>0</v>
      </c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68" t="inlineStr">
        <is>
          <t>Licenses &amp; Permits</t>
        </is>
      </c>
      <c r="B84" s="67" t="n">
        <v>0</v>
      </c>
      <c r="C84" s="67" t="n">
        <v>0</v>
      </c>
      <c r="D84" s="67" t="n">
        <v>0</v>
      </c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61" t="inlineStr">
        <is>
          <t>TOTAL EXPENSES</t>
        </is>
      </c>
      <c r="B85" s="62">
        <f>SUM(B70:B84)</f>
        <v/>
      </c>
      <c r="C85" s="62">
        <f>SUM(C70:C84)</f>
        <v/>
      </c>
      <c r="D85" s="62">
        <f>SUM(D70:D84)</f>
        <v/>
      </c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72" t="inlineStr">
        <is>
          <t>NET OPERATING INCOME</t>
        </is>
      </c>
      <c r="B87" s="73">
        <f>B68-B85</f>
        <v/>
      </c>
      <c r="C87" s="73">
        <f>C68-C85</f>
        <v/>
      </c>
      <c r="D87" s="73">
        <f>D68-D85</f>
        <v/>
      </c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28" t="inlineStr">
        <is>
          <t>DEBT SERVICE &amp; CASHFLOW</t>
        </is>
      </c>
      <c r="B89" s="56" t="n"/>
      <c r="C89" s="56" t="n"/>
      <c r="D89" s="56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68" t="inlineStr">
        <is>
          <t>Annual Debt Service</t>
        </is>
      </c>
      <c r="B90" s="70">
        <f>B44</f>
        <v/>
      </c>
      <c r="C90" s="70">
        <f>B44</f>
        <v/>
      </c>
      <c r="D90" s="70">
        <f>B44</f>
        <v/>
      </c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78" t="inlineStr">
        <is>
          <t>Annual Cashflow</t>
        </is>
      </c>
      <c r="B91" s="60">
        <f>B87-B90</f>
        <v/>
      </c>
      <c r="C91" s="60">
        <f>C87-C90</f>
        <v/>
      </c>
      <c r="D91" s="60">
        <f>D87-D90</f>
        <v/>
      </c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9" t="inlineStr">
        <is>
          <t>Monthly Cashflow</t>
        </is>
      </c>
      <c r="B92" s="63">
        <f>B91/12</f>
        <v/>
      </c>
      <c r="C92" s="63">
        <f>C91/12</f>
        <v/>
      </c>
      <c r="D92" s="63">
        <f>D91/12</f>
        <v/>
      </c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28" t="inlineStr">
        <is>
          <t>RETURNS</t>
        </is>
      </c>
      <c r="B94" s="56" t="n"/>
      <c r="C94" s="56" t="n"/>
      <c r="D94" s="56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31" t="inlineStr">
        <is>
          <t>Cap Rate</t>
        </is>
      </c>
      <c r="B95" s="79">
        <f>B87/B32</f>
        <v/>
      </c>
      <c r="C95" s="79">
        <f>C87/B32</f>
        <v/>
      </c>
      <c r="D95" s="79">
        <f>D87/B32</f>
        <v/>
      </c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31" t="inlineStr">
        <is>
          <t>DSCR</t>
        </is>
      </c>
      <c r="B96" s="80">
        <f>B87/B44</f>
        <v/>
      </c>
      <c r="C96" s="80">
        <f>C87/B44</f>
        <v/>
      </c>
      <c r="D96" s="80">
        <f>D87/B44</f>
        <v/>
      </c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31" t="inlineStr">
        <is>
          <t>Cash-on-Cash (Your Investment)</t>
        </is>
      </c>
      <c r="B97" s="79">
        <f>B91/B47</f>
        <v/>
      </c>
      <c r="C97" s="79">
        <f>C91/B47</f>
        <v/>
      </c>
      <c r="D97" s="79">
        <f>D91/B47</f>
        <v/>
      </c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31" t="inlineStr">
        <is>
          <t>Cash-on-Cash (Partner)</t>
        </is>
      </c>
      <c r="B98" s="79">
        <f>B91/B46</f>
        <v/>
      </c>
      <c r="C98" s="79">
        <f>C91/B46</f>
        <v/>
      </c>
      <c r="D98" s="79">
        <f>D91/B46</f>
        <v/>
      </c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31" t="inlineStr">
        <is>
          <t>Price Per Unit</t>
        </is>
      </c>
      <c r="B99" s="34">
        <f>B32/B26</f>
        <v/>
      </c>
      <c r="C99" s="34">
        <f>B32/B26</f>
        <v/>
      </c>
      <c r="D99" s="34">
        <f>B32/B26</f>
        <v/>
      </c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72" t="inlineStr">
        <is>
          <t>━━━━━━━━━━━━  SENSITIVITY ANALYSIS  ━━━━━━━━━━━━</t>
        </is>
      </c>
      <c r="J101" s="113" t="n"/>
      <c r="K101" s="113" t="n"/>
      <c r="L101" s="5" t="n"/>
    </row>
    <row r="102">
      <c r="A102" s="28" t="inlineStr">
        <is>
          <t>TABLE 1: PROPERTY VALUE AT EXIT — NOI Scenario  ×  Exit Cap Rate  (change assumptions above to update)</t>
        </is>
      </c>
      <c r="J102" s="113" t="n"/>
      <c r="K102" s="113" t="n"/>
      <c r="L102" s="5" t="n"/>
    </row>
    <row r="103">
      <c r="A103" s="40" t="inlineStr">
        <is>
          <t>NOI Scenario</t>
        </is>
      </c>
      <c r="B103" s="82" t="inlineStr">
        <is>
          <t>NOI Value ($)</t>
        </is>
      </c>
      <c r="C103" s="83" t="n">
        <v>0.08</v>
      </c>
      <c r="D103" s="83" t="n">
        <v>0.08500000000000001</v>
      </c>
      <c r="E103" s="83" t="n">
        <v>0.09</v>
      </c>
      <c r="F103" s="83" t="n">
        <v>0.095</v>
      </c>
      <c r="G103" s="83" t="n">
        <v>0.1</v>
      </c>
      <c r="H103" s="83" t="n">
        <v>0.105</v>
      </c>
      <c r="I103" s="83" t="n">
        <v>0.11</v>
      </c>
      <c r="J103" s="113" t="n"/>
      <c r="K103" s="113" t="n"/>
      <c r="L103" s="5" t="n"/>
    </row>
    <row r="104">
      <c r="A104" s="68" t="inlineStr">
        <is>
          <t>Current Expenses NOI</t>
        </is>
      </c>
      <c r="B104" s="70">
        <f>B87</f>
        <v/>
      </c>
      <c r="C104" s="67">
        <f>$B104/C103</f>
        <v/>
      </c>
      <c r="D104" s="67">
        <f>$B104/D103</f>
        <v/>
      </c>
      <c r="E104" s="67">
        <f>$B104/E103</f>
        <v/>
      </c>
      <c r="F104" s="67">
        <f>$B104/F103</f>
        <v/>
      </c>
      <c r="G104" s="67">
        <f>$B104/G103</f>
        <v/>
      </c>
      <c r="H104" s="67">
        <f>$B104/H103</f>
        <v/>
      </c>
      <c r="I104" s="67">
        <f>$B104/I103</f>
        <v/>
      </c>
      <c r="J104" s="113" t="n"/>
      <c r="K104" s="113" t="n"/>
      <c r="L104" s="5" t="n"/>
    </row>
    <row r="105">
      <c r="A105" s="68" t="inlineStr">
        <is>
          <t>RUBS + Trash NOI</t>
        </is>
      </c>
      <c r="B105" s="70">
        <f>C87</f>
        <v/>
      </c>
      <c r="C105" s="67">
        <f>$B105/C103</f>
        <v/>
      </c>
      <c r="D105" s="67">
        <f>$B105/D103</f>
        <v/>
      </c>
      <c r="E105" s="67">
        <f>$B105/E103</f>
        <v/>
      </c>
      <c r="F105" s="67">
        <f>$B105/F103</f>
        <v/>
      </c>
      <c r="G105" s="67">
        <f>$B105/G103</f>
        <v/>
      </c>
      <c r="H105" s="67">
        <f>$B105/H103</f>
        <v/>
      </c>
      <c r="I105" s="67">
        <f>$B105/I103</f>
        <v/>
      </c>
      <c r="J105" s="113" t="n"/>
      <c r="K105" s="113" t="n"/>
      <c r="L105" s="5" t="n"/>
    </row>
    <row r="106">
      <c r="A106" s="44" t="inlineStr">
        <is>
          <t>Full Value-Add NOI</t>
        </is>
      </c>
      <c r="B106" s="84">
        <f>D87</f>
        <v/>
      </c>
      <c r="C106" s="85">
        <f>$B106/C103</f>
        <v/>
      </c>
      <c r="D106" s="85">
        <f>$B106/D103</f>
        <v/>
      </c>
      <c r="E106" s="85">
        <f>$B106/E103</f>
        <v/>
      </c>
      <c r="F106" s="85">
        <f>$B106/F103</f>
        <v/>
      </c>
      <c r="G106" s="85">
        <f>$B106/G103</f>
        <v/>
      </c>
      <c r="H106" s="85">
        <f>$B106/H103</f>
        <v/>
      </c>
      <c r="I106" s="85">
        <f>$B106/I103</f>
        <v/>
      </c>
      <c r="J106" s="113" t="n"/>
      <c r="K106" s="113" t="n"/>
      <c r="L106" s="5" t="n"/>
    </row>
    <row r="107">
      <c r="A107" s="68" t="inlineStr">
        <is>
          <t>Value-Add +10%</t>
        </is>
      </c>
      <c r="B107" s="70">
        <f>D87*1.1</f>
        <v/>
      </c>
      <c r="C107" s="67">
        <f>$B107/C103</f>
        <v/>
      </c>
      <c r="D107" s="67">
        <f>$B107/D103</f>
        <v/>
      </c>
      <c r="E107" s="67">
        <f>$B107/E103</f>
        <v/>
      </c>
      <c r="F107" s="67">
        <f>$B107/F103</f>
        <v/>
      </c>
      <c r="G107" s="67">
        <f>$B107/G103</f>
        <v/>
      </c>
      <c r="H107" s="67">
        <f>$B107/H103</f>
        <v/>
      </c>
      <c r="I107" s="67">
        <f>$B107/I103</f>
        <v/>
      </c>
      <c r="J107" s="113" t="n"/>
      <c r="K107" s="113" t="n"/>
      <c r="L107" s="5" t="n"/>
    </row>
    <row r="108">
      <c r="A108" s="68" t="inlineStr">
        <is>
          <t>Value-Add -10%</t>
        </is>
      </c>
      <c r="B108" s="70">
        <f>D87*0.9</f>
        <v/>
      </c>
      <c r="C108" s="67">
        <f>$B108/C103</f>
        <v/>
      </c>
      <c r="D108" s="67">
        <f>$B108/D103</f>
        <v/>
      </c>
      <c r="E108" s="67">
        <f>$B108/E103</f>
        <v/>
      </c>
      <c r="F108" s="67">
        <f>$B108/F103</f>
        <v/>
      </c>
      <c r="G108" s="67">
        <f>$B108/G103</f>
        <v/>
      </c>
      <c r="H108" s="67">
        <f>$B108/H103</f>
        <v/>
      </c>
      <c r="I108" s="67">
        <f>$B108/I103</f>
        <v/>
      </c>
      <c r="J108" s="113" t="n"/>
      <c r="K108" s="113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113" t="n"/>
      <c r="K109" s="113" t="n"/>
      <c r="L109" s="5" t="n"/>
    </row>
    <row r="110">
      <c r="A110" s="28" t="inlineStr">
        <is>
          <t>TABLE 2: ANNUAL CASHFLOW SENSITIVITY — Purchase Price  ×  Interest Rate  (uses Full Value-Add NOI)</t>
        </is>
      </c>
      <c r="J110" s="113" t="n"/>
      <c r="K110" s="113" t="n"/>
      <c r="L110" s="5" t="n"/>
    </row>
    <row r="111">
      <c r="A111" s="40" t="inlineStr">
        <is>
          <t>Purchase Price</t>
        </is>
      </c>
      <c r="B111" s="83" t="n">
        <v>0.06</v>
      </c>
      <c r="C111" s="83" t="n">
        <v>0.065</v>
      </c>
      <c r="D111" s="83" t="n">
        <v>0.07000000000000001</v>
      </c>
      <c r="E111" s="83" t="n">
        <v>0.075</v>
      </c>
      <c r="F111" s="83" t="n">
        <v>0.08</v>
      </c>
      <c r="G111" s="83" t="n">
        <v>0.08500000000000001</v>
      </c>
      <c r="H111" s="5" t="n"/>
      <c r="I111" s="5" t="n"/>
      <c r="J111" s="113" t="n"/>
      <c r="K111" s="113" t="n"/>
      <c r="L111" s="5" t="n"/>
    </row>
    <row r="112">
      <c r="A112" s="43" t="n">
        <v>2475000</v>
      </c>
      <c r="B112" s="67">
        <f>D87-(A112*(1-B33)*(B111/12)/(1-(1+B111/12)^(-B35*12))*12)</f>
        <v/>
      </c>
      <c r="C112" s="67">
        <f>D87-(A112*(1-B33)*(C111/12)/(1-(1+C111/12)^(-B35*12))*12)</f>
        <v/>
      </c>
      <c r="D112" s="67">
        <f>D87-(A112*(1-B33)*(D111/12)/(1-(1+D111/12)^(-B35*12))*12)</f>
        <v/>
      </c>
      <c r="E112" s="67">
        <f>D87-(A112*(1-B33)*(E111/12)/(1-(1+E111/12)^(-B35*12))*12)</f>
        <v/>
      </c>
      <c r="F112" s="67">
        <f>D87-(A112*(1-B33)*(F111/12)/(1-(1+F111/12)^(-B35*12))*12)</f>
        <v/>
      </c>
      <c r="G112" s="67">
        <f>D87-(A112*(1-B33)*(G111/12)/(1-(1+G111/12)^(-B35*12))*12)</f>
        <v/>
      </c>
      <c r="H112" s="5" t="n"/>
      <c r="I112" s="5" t="n"/>
      <c r="J112" s="113" t="n"/>
      <c r="K112" s="113" t="n"/>
      <c r="L112" s="5" t="n"/>
    </row>
    <row r="113">
      <c r="A113" s="43" t="n">
        <v>2543750</v>
      </c>
      <c r="B113" s="67">
        <f>D87-(A113*(1-B33)*(B111/12)/(1-(1+B111/12)^(-B35*12))*12)</f>
        <v/>
      </c>
      <c r="C113" s="67">
        <f>D87-(A113*(1-B33)*(C111/12)/(1-(1+C111/12)^(-B35*12))*12)</f>
        <v/>
      </c>
      <c r="D113" s="67">
        <f>D87-(A113*(1-B33)*(D111/12)/(1-(1+D111/12)^(-B35*12))*12)</f>
        <v/>
      </c>
      <c r="E113" s="67">
        <f>D87-(A113*(1-B33)*(E111/12)/(1-(1+E111/12)^(-B35*12))*12)</f>
        <v/>
      </c>
      <c r="F113" s="67">
        <f>D87-(A113*(1-B33)*(F111/12)/(1-(1+F111/12)^(-B35*12))*12)</f>
        <v/>
      </c>
      <c r="G113" s="67">
        <f>D87-(A113*(1-B33)*(G111/12)/(1-(1+G111/12)^(-B35*12))*12)</f>
        <v/>
      </c>
      <c r="H113" s="5" t="n"/>
      <c r="I113" s="5" t="n"/>
      <c r="J113" s="113" t="n"/>
      <c r="K113" s="113" t="n"/>
      <c r="L113" s="5" t="n"/>
    </row>
    <row r="114">
      <c r="A114" s="43" t="n">
        <v>2612500</v>
      </c>
      <c r="B114" s="67">
        <f>D87-(A114*(1-B33)*(B111/12)/(1-(1+B111/12)^(-B35*12))*12)</f>
        <v/>
      </c>
      <c r="C114" s="67">
        <f>D87-(A114*(1-B33)*(C111/12)/(1-(1+C111/12)^(-B35*12))*12)</f>
        <v/>
      </c>
      <c r="D114" s="67">
        <f>D87-(A114*(1-B33)*(D111/12)/(1-(1+D111/12)^(-B35*12))*12)</f>
        <v/>
      </c>
      <c r="E114" s="67">
        <f>D87-(A114*(1-B33)*(E111/12)/(1-(1+E111/12)^(-B35*12))*12)</f>
        <v/>
      </c>
      <c r="F114" s="67">
        <f>D87-(A114*(1-B33)*(F111/12)/(1-(1+F111/12)^(-B35*12))*12)</f>
        <v/>
      </c>
      <c r="G114" s="67">
        <f>D87-(A114*(1-B33)*(G111/12)/(1-(1+G111/12)^(-B35*12))*12)</f>
        <v/>
      </c>
      <c r="H114" s="5" t="n"/>
      <c r="I114" s="5" t="n"/>
      <c r="J114" s="113" t="n"/>
      <c r="K114" s="113" t="n"/>
      <c r="L114" s="5" t="n"/>
    </row>
    <row r="115">
      <c r="A115" s="43" t="n">
        <v>2681250</v>
      </c>
      <c r="B115" s="67">
        <f>D87-(A115*(1-B33)*(B111/12)/(1-(1+B111/12)^(-B35*12))*12)</f>
        <v/>
      </c>
      <c r="C115" s="67">
        <f>D87-(A115*(1-B33)*(C111/12)/(1-(1+C111/12)^(-B35*12))*12)</f>
        <v/>
      </c>
      <c r="D115" s="67">
        <f>D87-(A115*(1-B33)*(D111/12)/(1-(1+D111/12)^(-B35*12))*12)</f>
        <v/>
      </c>
      <c r="E115" s="67">
        <f>D87-(A115*(1-B33)*(E111/12)/(1-(1+E111/12)^(-B35*12))*12)</f>
        <v/>
      </c>
      <c r="F115" s="67">
        <f>D87-(A115*(1-B33)*(F111/12)/(1-(1+F111/12)^(-B35*12))*12)</f>
        <v/>
      </c>
      <c r="G115" s="67">
        <f>D87-(A115*(1-B33)*(G111/12)/(1-(1+G111/12)^(-B35*12))*12)</f>
        <v/>
      </c>
      <c r="H115" s="5" t="n"/>
      <c r="I115" s="5" t="n"/>
      <c r="J115" s="113" t="n"/>
      <c r="K115" s="113" t="n"/>
      <c r="L115" s="5" t="n"/>
    </row>
    <row r="116">
      <c r="A116" s="86" t="n">
        <v>2750000</v>
      </c>
      <c r="B116" s="45">
        <f>D87-(A116*(1-B33)*(B111/12)/(1-(1+B111/12)^(-B35*12))*12)</f>
        <v/>
      </c>
      <c r="C116" s="45">
        <f>D87-(A116*(1-B33)*(C111/12)/(1-(1+C111/12)^(-B35*12))*12)</f>
        <v/>
      </c>
      <c r="D116" s="45">
        <f>D87-(A116*(1-B33)*(D111/12)/(1-(1+D111/12)^(-B35*12))*12)</f>
        <v/>
      </c>
      <c r="E116" s="45">
        <f>D87-(A116*(1-B33)*(E111/12)/(1-(1+E111/12)^(-B35*12))*12)</f>
        <v/>
      </c>
      <c r="F116" s="45">
        <f>D87-(A116*(1-B33)*(F111/12)/(1-(1+F111/12)^(-B35*12))*12)</f>
        <v/>
      </c>
      <c r="G116" s="45">
        <f>D87-(A116*(1-B33)*(G111/12)/(1-(1+G111/12)^(-B35*12))*12)</f>
        <v/>
      </c>
      <c r="H116" s="5" t="n"/>
      <c r="I116" s="5" t="n"/>
      <c r="J116" s="113" t="n"/>
      <c r="K116" s="113" t="n"/>
      <c r="L116" s="5" t="n"/>
    </row>
    <row r="117">
      <c r="A117" s="43" t="n">
        <v>2818750</v>
      </c>
      <c r="B117" s="67">
        <f>D87-(A117*(1-B33)*(B111/12)/(1-(1+B111/12)^(-B35*12))*12)</f>
        <v/>
      </c>
      <c r="C117" s="67">
        <f>D87-(A117*(1-B33)*(C111/12)/(1-(1+C111/12)^(-B35*12))*12)</f>
        <v/>
      </c>
      <c r="D117" s="67">
        <f>D87-(A117*(1-B33)*(D111/12)/(1-(1+D111/12)^(-B35*12))*12)</f>
        <v/>
      </c>
      <c r="E117" s="67">
        <f>D87-(A117*(1-B33)*(E111/12)/(1-(1+E111/12)^(-B35*12))*12)</f>
        <v/>
      </c>
      <c r="F117" s="67">
        <f>D87-(A117*(1-B33)*(F111/12)/(1-(1+F111/12)^(-B35*12))*12)</f>
        <v/>
      </c>
      <c r="G117" s="67">
        <f>D87-(A117*(1-B33)*(G111/12)/(1-(1+G111/12)^(-B35*12))*12)</f>
        <v/>
      </c>
      <c r="H117" s="5" t="n"/>
      <c r="I117" s="5" t="n"/>
      <c r="J117" s="113" t="n"/>
      <c r="K117" s="113" t="n"/>
      <c r="L117" s="5" t="n"/>
    </row>
    <row r="118">
      <c r="A118" s="43" t="n">
        <v>2887500</v>
      </c>
      <c r="B118" s="67">
        <f>D87-(A118*(1-B33)*(B111/12)/(1-(1+B111/12)^(-B35*12))*12)</f>
        <v/>
      </c>
      <c r="C118" s="67">
        <f>D87-(A118*(1-B33)*(C111/12)/(1-(1+C111/12)^(-B35*12))*12)</f>
        <v/>
      </c>
      <c r="D118" s="67">
        <f>D87-(A118*(1-B33)*(D111/12)/(1-(1+D111/12)^(-B35*12))*12)</f>
        <v/>
      </c>
      <c r="E118" s="67">
        <f>D87-(A118*(1-B33)*(E111/12)/(1-(1+E111/12)^(-B35*12))*12)</f>
        <v/>
      </c>
      <c r="F118" s="67">
        <f>D87-(A118*(1-B33)*(F111/12)/(1-(1+F111/12)^(-B35*12))*12)</f>
        <v/>
      </c>
      <c r="G118" s="67">
        <f>D87-(A118*(1-B33)*(G111/12)/(1-(1+G111/12)^(-B35*12))*12)</f>
        <v/>
      </c>
      <c r="H118" s="5" t="n"/>
      <c r="I118" s="5" t="n"/>
      <c r="J118" s="113" t="n"/>
      <c r="K118" s="113" t="n"/>
      <c r="L118" s="5" t="n"/>
    </row>
    <row r="119">
      <c r="A119" s="43" t="n">
        <v>2956250</v>
      </c>
      <c r="B119" s="67">
        <f>D87-(A119*(1-B33)*(B111/12)/(1-(1+B111/12)^(-B35*12))*12)</f>
        <v/>
      </c>
      <c r="C119" s="67">
        <f>D87-(A119*(1-B33)*(C111/12)/(1-(1+C111/12)^(-B35*12))*12)</f>
        <v/>
      </c>
      <c r="D119" s="67">
        <f>D87-(A119*(1-B33)*(D111/12)/(1-(1+D111/12)^(-B35*12))*12)</f>
        <v/>
      </c>
      <c r="E119" s="67">
        <f>D87-(A119*(1-B33)*(E111/12)/(1-(1+E111/12)^(-B35*12))*12)</f>
        <v/>
      </c>
      <c r="F119" s="67">
        <f>D87-(A119*(1-B33)*(F111/12)/(1-(1+F111/12)^(-B35*12))*12)</f>
        <v/>
      </c>
      <c r="G119" s="67">
        <f>D87-(A119*(1-B33)*(G111/12)/(1-(1+G111/12)^(-B35*12))*12)</f>
        <v/>
      </c>
      <c r="H119" s="5" t="n"/>
      <c r="I119" s="5" t="n"/>
      <c r="J119" s="113" t="n"/>
      <c r="K119" s="113" t="n"/>
      <c r="L119" s="5" t="n"/>
    </row>
    <row r="120">
      <c r="A120" s="43" t="n">
        <v>3025000</v>
      </c>
      <c r="B120" s="67">
        <f>D87-(A120*(1-B33)*(B111/12)/(1-(1+B111/12)^(-B35*12))*12)</f>
        <v/>
      </c>
      <c r="C120" s="67">
        <f>D87-(A120*(1-B33)*(C111/12)/(1-(1+C111/12)^(-B35*12))*12)</f>
        <v/>
      </c>
      <c r="D120" s="67">
        <f>D87-(A120*(1-B33)*(D111/12)/(1-(1+D111/12)^(-B35*12))*12)</f>
        <v/>
      </c>
      <c r="E120" s="67">
        <f>D87-(A120*(1-B33)*(E111/12)/(1-(1+E111/12)^(-B35*12))*12)</f>
        <v/>
      </c>
      <c r="F120" s="67">
        <f>D87-(A120*(1-B33)*(F111/12)/(1-(1+F111/12)^(-B35*12))*12)</f>
        <v/>
      </c>
      <c r="G120" s="67">
        <f>D87-(A120*(1-B33)*(G111/12)/(1-(1+G111/12)^(-B35*12))*12)</f>
        <v/>
      </c>
      <c r="H120" s="5" t="n"/>
      <c r="I120" s="5" t="n"/>
      <c r="J120" s="113" t="n"/>
      <c r="K120" s="113" t="n"/>
      <c r="L120" s="5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5" t="n"/>
    </row>
    <row r="122">
      <c r="A122" s="72" t="inlineStr">
        <is>
          <t>━━━━━━━━━━━━  RENT ROLL  ━━━━━━━━━━━━</t>
        </is>
      </c>
      <c r="I122" s="113" t="n"/>
      <c r="J122" s="113" t="n"/>
      <c r="K122" s="113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113" t="n"/>
      <c r="J123" s="113" t="n"/>
      <c r="K123" s="113" t="n"/>
      <c r="L123" s="5" t="n"/>
    </row>
    <row r="124">
      <c r="A124" s="88" t="inlineStr">
        <is>
          <t>Unit #</t>
        </is>
      </c>
      <c r="B124" s="88" t="inlineStr">
        <is>
          <t>Mix</t>
        </is>
      </c>
      <c r="C124" s="88" t="inlineStr">
        <is>
          <t>Current Rent</t>
        </is>
      </c>
      <c r="D124" s="88" t="inlineStr">
        <is>
          <t>Market Rent</t>
        </is>
      </c>
      <c r="E124" s="88" t="inlineStr">
        <is>
          <t>Loss to Lease</t>
        </is>
      </c>
      <c r="F124" s="88" t="inlineStr">
        <is>
          <t>SF</t>
        </is>
      </c>
      <c r="G124" s="88" t="inlineStr">
        <is>
          <t>Rent/SF</t>
        </is>
      </c>
      <c r="H124" s="88" t="inlineStr">
        <is>
          <t>Market Rent/SF</t>
        </is>
      </c>
      <c r="I124" s="113" t="n"/>
      <c r="J124" s="113" t="n"/>
      <c r="K124" s="113" t="n"/>
      <c r="L124" s="5" t="n"/>
    </row>
    <row r="125">
      <c r="A125" s="89" t="n">
        <v>1</v>
      </c>
      <c r="B125" s="89" t="inlineStr">
        <is>
          <t>2 Bed / 1 Bath</t>
        </is>
      </c>
      <c r="C125" s="90" t="n">
        <v>0</v>
      </c>
      <c r="D125" s="90" t="n">
        <v>0</v>
      </c>
      <c r="E125" s="91" t="n"/>
      <c r="F125" s="92" t="n">
        <v>0</v>
      </c>
      <c r="G125" s="114">
        <f>C125/F125</f>
        <v/>
      </c>
      <c r="H125" s="114">
        <f>D125/F125</f>
        <v/>
      </c>
      <c r="I125" s="113" t="n"/>
      <c r="J125" s="113" t="n"/>
      <c r="K125" s="113" t="n"/>
      <c r="L125" s="5" t="n"/>
    </row>
    <row r="126">
      <c r="A126" s="94" t="n">
        <v>2</v>
      </c>
      <c r="B126" s="94" t="inlineStr">
        <is>
          <t>2 Bed / 1 Bath</t>
        </is>
      </c>
      <c r="C126" s="67" t="n">
        <v>0</v>
      </c>
      <c r="D126" s="67" t="n">
        <v>0</v>
      </c>
      <c r="E126" s="67" t="n"/>
      <c r="F126" s="95" t="n">
        <v>0</v>
      </c>
      <c r="G126" s="115">
        <f>C126/F126</f>
        <v/>
      </c>
      <c r="H126" s="115">
        <f>D126/F126</f>
        <v/>
      </c>
      <c r="I126" s="113" t="n"/>
      <c r="J126" s="113" t="n"/>
      <c r="K126" s="113" t="n"/>
      <c r="L126" s="5" t="n"/>
    </row>
    <row r="127">
      <c r="A127" s="97" t="n">
        <v>3</v>
      </c>
      <c r="B127" s="97" t="inlineStr">
        <is>
          <t>2 Bed / 1 Bath</t>
        </is>
      </c>
      <c r="C127" s="98" t="n">
        <v>0</v>
      </c>
      <c r="D127" s="98" t="n">
        <v>0</v>
      </c>
      <c r="E127" s="99" t="n"/>
      <c r="F127" s="100" t="n">
        <v>0</v>
      </c>
      <c r="G127" s="116">
        <f>C127/F127</f>
        <v/>
      </c>
      <c r="H127" s="116">
        <f>D127/F127</f>
        <v/>
      </c>
      <c r="I127" s="113" t="n"/>
      <c r="J127" s="113" t="n"/>
      <c r="K127" s="113" t="n"/>
      <c r="L127" s="5" t="n"/>
    </row>
    <row r="128">
      <c r="A128" s="89" t="n">
        <v>4</v>
      </c>
      <c r="B128" s="89" t="n"/>
      <c r="C128" s="90" t="n"/>
      <c r="D128" s="90" t="n"/>
      <c r="E128" s="91" t="n"/>
      <c r="F128" s="92" t="n"/>
      <c r="G128" s="114">
        <f>C128/F128</f>
        <v/>
      </c>
      <c r="H128" s="114">
        <f>D128/F128</f>
        <v/>
      </c>
      <c r="I128" s="113" t="n"/>
      <c r="J128" s="113" t="n"/>
      <c r="K128" s="113" t="n"/>
      <c r="L128" s="5" t="n"/>
    </row>
    <row r="129">
      <c r="A129" s="94" t="n">
        <v>5</v>
      </c>
      <c r="B129" s="94" t="n"/>
      <c r="C129" s="67" t="n"/>
      <c r="D129" s="67" t="n"/>
      <c r="E129" s="67" t="n"/>
      <c r="F129" s="95" t="n"/>
      <c r="G129" s="115">
        <f>C129/F129</f>
        <v/>
      </c>
      <c r="H129" s="115">
        <f>D129/F129</f>
        <v/>
      </c>
      <c r="I129" s="113" t="n"/>
      <c r="J129" s="113" t="n"/>
      <c r="K129" s="113" t="n"/>
      <c r="L129" s="5" t="n"/>
    </row>
    <row r="130">
      <c r="A130" s="97" t="n">
        <v>6</v>
      </c>
      <c r="B130" s="97" t="n"/>
      <c r="C130" s="98" t="n"/>
      <c r="D130" s="98" t="n"/>
      <c r="E130" s="99" t="n"/>
      <c r="F130" s="100" t="n"/>
      <c r="G130" s="116">
        <f>C130/F130</f>
        <v/>
      </c>
      <c r="H130" s="116">
        <f>D130/F130</f>
        <v/>
      </c>
      <c r="I130" s="113" t="n"/>
      <c r="J130" s="113" t="n"/>
      <c r="K130" s="113" t="n"/>
      <c r="L130" s="5" t="n"/>
    </row>
    <row r="131">
      <c r="A131" s="97" t="n">
        <v>7</v>
      </c>
      <c r="B131" s="97" t="n"/>
      <c r="C131" s="98" t="n"/>
      <c r="D131" s="98" t="n"/>
      <c r="E131" s="99" t="n"/>
      <c r="F131" s="100" t="n"/>
      <c r="G131" s="116">
        <f>C131/F131</f>
        <v/>
      </c>
      <c r="H131" s="116">
        <f>D131/F131</f>
        <v/>
      </c>
      <c r="I131" s="113" t="n"/>
      <c r="J131" s="113" t="n"/>
      <c r="K131" s="113" t="n"/>
      <c r="L131" s="5" t="n"/>
    </row>
    <row r="132">
      <c r="A132" s="97" t="n">
        <v>8</v>
      </c>
      <c r="B132" s="97" t="n"/>
      <c r="C132" s="98" t="n"/>
      <c r="D132" s="98" t="n"/>
      <c r="E132" s="99" t="n"/>
      <c r="F132" s="100" t="n"/>
      <c r="G132" s="116">
        <f>C132/F132</f>
        <v/>
      </c>
      <c r="H132" s="116">
        <f>D132/F132</f>
        <v/>
      </c>
      <c r="I132" s="113" t="n"/>
      <c r="J132" s="113" t="n"/>
      <c r="K132" s="113" t="n"/>
      <c r="L132" s="5" t="n"/>
    </row>
    <row r="133">
      <c r="A133" s="97" t="n">
        <v>9</v>
      </c>
      <c r="B133" s="97" t="n"/>
      <c r="C133" s="98" t="n"/>
      <c r="D133" s="98" t="n"/>
      <c r="E133" s="99" t="n"/>
      <c r="F133" s="100" t="n"/>
      <c r="G133" s="116">
        <f>C133/F133</f>
        <v/>
      </c>
      <c r="H133" s="116">
        <f>D133/F133</f>
        <v/>
      </c>
      <c r="I133" s="113" t="n"/>
      <c r="J133" s="113" t="n"/>
      <c r="K133" s="113" t="n"/>
      <c r="L133" s="5" t="n"/>
    </row>
    <row r="134">
      <c r="A134" s="97" t="n">
        <v>10</v>
      </c>
      <c r="B134" s="97" t="n"/>
      <c r="C134" s="98" t="n"/>
      <c r="D134" s="98" t="n"/>
      <c r="E134" s="99" t="n"/>
      <c r="F134" s="100" t="n"/>
      <c r="G134" s="116">
        <f>C134/F134</f>
        <v/>
      </c>
      <c r="H134" s="116">
        <f>D134/F134</f>
        <v/>
      </c>
      <c r="I134" s="113" t="n"/>
      <c r="J134" s="113" t="n"/>
      <c r="K134" s="113" t="n"/>
      <c r="L134" s="5" t="n"/>
    </row>
    <row r="135">
      <c r="A135" s="97" t="n">
        <v>11</v>
      </c>
      <c r="B135" s="97" t="n"/>
      <c r="C135" s="98" t="n"/>
      <c r="D135" s="98" t="n"/>
      <c r="E135" s="99" t="n"/>
      <c r="F135" s="100" t="n"/>
      <c r="G135" s="116">
        <f>C135/F135</f>
        <v/>
      </c>
      <c r="H135" s="116">
        <f>D135/F135</f>
        <v/>
      </c>
      <c r="I135" s="113" t="n"/>
      <c r="J135" s="113" t="n"/>
      <c r="K135" s="113" t="n"/>
      <c r="L135" s="5" t="n"/>
    </row>
    <row r="136">
      <c r="A136" s="94" t="n">
        <v>12</v>
      </c>
      <c r="B136" s="94" t="n"/>
      <c r="C136" s="67" t="n"/>
      <c r="D136" s="67" t="n"/>
      <c r="E136" s="67" t="n"/>
      <c r="F136" s="95" t="n"/>
      <c r="G136" s="115">
        <f>C136/F136</f>
        <v/>
      </c>
      <c r="H136" s="115">
        <f>D136/F136</f>
        <v/>
      </c>
      <c r="I136" s="113" t="n"/>
      <c r="J136" s="113" t="n"/>
      <c r="K136" s="113" t="n"/>
      <c r="L136" s="5" t="n"/>
    </row>
    <row r="137">
      <c r="A137" s="94" t="n">
        <v>13</v>
      </c>
      <c r="B137" s="94" t="n"/>
      <c r="C137" s="67" t="n"/>
      <c r="D137" s="67" t="n"/>
      <c r="E137" s="67" t="n"/>
      <c r="F137" s="95" t="n"/>
      <c r="G137" s="115">
        <f>C137/F137</f>
        <v/>
      </c>
      <c r="H137" s="115">
        <f>D137/F137</f>
        <v/>
      </c>
      <c r="I137" s="113" t="n"/>
      <c r="J137" s="113" t="n"/>
      <c r="K137" s="113" t="n"/>
      <c r="L137" s="5" t="n"/>
    </row>
    <row r="138">
      <c r="A138" s="94" t="n">
        <v>14</v>
      </c>
      <c r="B138" s="94" t="n"/>
      <c r="C138" s="67" t="n"/>
      <c r="D138" s="67" t="n"/>
      <c r="E138" s="67" t="n"/>
      <c r="F138" s="95" t="n"/>
      <c r="G138" s="115">
        <f>C138/F138</f>
        <v/>
      </c>
      <c r="H138" s="115">
        <f>D138/F138</f>
        <v/>
      </c>
      <c r="I138" s="113" t="n"/>
      <c r="J138" s="113" t="n"/>
      <c r="K138" s="113" t="n"/>
      <c r="L138" s="5" t="n"/>
    </row>
    <row r="139">
      <c r="A139" s="94" t="n">
        <v>15</v>
      </c>
      <c r="B139" s="94" t="n"/>
      <c r="C139" s="67" t="n"/>
      <c r="D139" s="67" t="n"/>
      <c r="E139" s="67" t="n"/>
      <c r="F139" s="95" t="n"/>
      <c r="G139" s="115">
        <f>C139/F139</f>
        <v/>
      </c>
      <c r="H139" s="115">
        <f>D139/F139</f>
        <v/>
      </c>
      <c r="I139" s="113" t="n"/>
      <c r="J139" s="113" t="n"/>
      <c r="K139" s="113" t="n"/>
      <c r="L139" s="5" t="n"/>
    </row>
    <row r="140">
      <c r="A140" s="94" t="n">
        <v>16</v>
      </c>
      <c r="B140" s="94" t="n"/>
      <c r="C140" s="67" t="n"/>
      <c r="D140" s="67" t="n"/>
      <c r="E140" s="67" t="n"/>
      <c r="F140" s="95" t="n"/>
      <c r="G140" s="115">
        <f>C140/F140</f>
        <v/>
      </c>
      <c r="H140" s="115">
        <f>D140/F140</f>
        <v/>
      </c>
      <c r="I140" s="113" t="n"/>
      <c r="J140" s="113" t="n"/>
      <c r="K140" s="113" t="n"/>
      <c r="L140" s="5" t="n"/>
    </row>
    <row r="141">
      <c r="A141" s="89" t="n">
        <v>17</v>
      </c>
      <c r="B141" s="89" t="n"/>
      <c r="C141" s="90" t="n"/>
      <c r="D141" s="90" t="n"/>
      <c r="E141" s="91" t="n"/>
      <c r="F141" s="92" t="n"/>
      <c r="G141" s="114">
        <f>C141/F141</f>
        <v/>
      </c>
      <c r="H141" s="114">
        <f>D141/F141</f>
        <v/>
      </c>
      <c r="I141" s="113" t="n"/>
      <c r="J141" s="113" t="n"/>
      <c r="K141" s="113" t="n"/>
      <c r="L141" s="5" t="n"/>
    </row>
    <row r="142">
      <c r="A142" s="97" t="n">
        <v>18</v>
      </c>
      <c r="B142" s="97" t="n"/>
      <c r="C142" s="98" t="n"/>
      <c r="D142" s="98" t="n"/>
      <c r="E142" s="99" t="n"/>
      <c r="F142" s="100" t="n"/>
      <c r="G142" s="116">
        <f>C142/F142</f>
        <v/>
      </c>
      <c r="H142" s="116">
        <f>D142/F142</f>
        <v/>
      </c>
      <c r="I142" s="113" t="n"/>
      <c r="J142" s="113" t="n"/>
      <c r="K142" s="113" t="n"/>
      <c r="L142" s="5" t="n"/>
    </row>
    <row r="143">
      <c r="A143" s="94" t="n">
        <v>19</v>
      </c>
      <c r="B143" s="94" t="n"/>
      <c r="C143" s="67" t="n"/>
      <c r="D143" s="67" t="n"/>
      <c r="E143" s="67" t="n"/>
      <c r="F143" s="95" t="n"/>
      <c r="G143" s="115">
        <f>C143/F143</f>
        <v/>
      </c>
      <c r="H143" s="115">
        <f>D143/F143</f>
        <v/>
      </c>
      <c r="I143" s="113" t="n"/>
      <c r="J143" s="113" t="n"/>
      <c r="K143" s="113" t="n"/>
      <c r="L143" s="5" t="n"/>
    </row>
    <row r="144">
      <c r="A144" s="89" t="n">
        <v>20</v>
      </c>
      <c r="B144" s="89" t="n"/>
      <c r="C144" s="90" t="n"/>
      <c r="D144" s="90" t="n"/>
      <c r="E144" s="91" t="n"/>
      <c r="F144" s="92" t="n"/>
      <c r="G144" s="114">
        <f>C144/F144</f>
        <v/>
      </c>
      <c r="H144" s="114">
        <f>D144/F144</f>
        <v/>
      </c>
      <c r="I144" s="113" t="n"/>
      <c r="J144" s="113" t="n"/>
      <c r="K144" s="113" t="n"/>
      <c r="L144" s="5" t="n"/>
    </row>
    <row r="145">
      <c r="A145" s="94" t="n">
        <v>21</v>
      </c>
      <c r="B145" s="94" t="n"/>
      <c r="C145" s="67" t="n"/>
      <c r="D145" s="67" t="n"/>
      <c r="E145" s="67" t="n"/>
      <c r="F145" s="95" t="n"/>
      <c r="G145" s="115">
        <f>C145/F145</f>
        <v/>
      </c>
      <c r="H145" s="115">
        <f>D145/F145</f>
        <v/>
      </c>
      <c r="I145" s="113" t="n"/>
      <c r="J145" s="113" t="n"/>
      <c r="K145" s="113" t="n"/>
      <c r="L145" s="5" t="n"/>
    </row>
    <row r="146">
      <c r="A146" s="89" t="n">
        <v>22</v>
      </c>
      <c r="B146" s="89" t="n"/>
      <c r="C146" s="90" t="n"/>
      <c r="D146" s="90" t="n"/>
      <c r="E146" s="91" t="n"/>
      <c r="F146" s="92" t="n"/>
      <c r="G146" s="114">
        <f>C146/F146</f>
        <v/>
      </c>
      <c r="H146" s="114">
        <f>D146/F146</f>
        <v/>
      </c>
      <c r="I146" s="113" t="n"/>
      <c r="J146" s="113" t="n"/>
      <c r="K146" s="113" t="n"/>
      <c r="L146" s="5" t="n"/>
    </row>
    <row r="147">
      <c r="A147" s="89" t="n">
        <v>23</v>
      </c>
      <c r="B147" s="89" t="n"/>
      <c r="C147" s="90" t="n"/>
      <c r="D147" s="90" t="n"/>
      <c r="E147" s="91" t="n"/>
      <c r="F147" s="92" t="n"/>
      <c r="G147" s="114">
        <f>C147/F147</f>
        <v/>
      </c>
      <c r="H147" s="114">
        <f>D147/F147</f>
        <v/>
      </c>
      <c r="I147" s="113" t="n"/>
      <c r="J147" s="113" t="n"/>
      <c r="K147" s="113" t="n"/>
      <c r="L147" s="5" t="n"/>
    </row>
    <row r="148">
      <c r="A148" s="94" t="n">
        <v>24</v>
      </c>
      <c r="B148" s="94" t="n"/>
      <c r="C148" s="67" t="n"/>
      <c r="D148" s="67" t="n"/>
      <c r="E148" s="67" t="n"/>
      <c r="F148" s="95" t="n"/>
      <c r="G148" s="115">
        <f>C148/F148</f>
        <v/>
      </c>
      <c r="H148" s="115">
        <f>D148/F148</f>
        <v/>
      </c>
      <c r="I148" s="113" t="n"/>
      <c r="J148" s="113" t="n"/>
      <c r="K148" s="113" t="n"/>
      <c r="L148" s="5" t="n"/>
    </row>
    <row r="149">
      <c r="A149" s="94" t="n">
        <v>25</v>
      </c>
      <c r="B149" s="94" t="n"/>
      <c r="C149" s="67" t="n"/>
      <c r="D149" s="67" t="n"/>
      <c r="E149" s="67" t="n"/>
      <c r="F149" s="95" t="n"/>
      <c r="G149" s="115">
        <f>C149/F149</f>
        <v/>
      </c>
      <c r="H149" s="115">
        <f>D149/F149</f>
        <v/>
      </c>
      <c r="I149" s="113" t="n"/>
      <c r="J149" s="113" t="n"/>
      <c r="K149" s="113" t="n"/>
      <c r="L149" s="5" t="n"/>
    </row>
    <row r="150">
      <c r="A150" s="94" t="n">
        <v>26</v>
      </c>
      <c r="B150" s="94" t="n"/>
      <c r="C150" s="67" t="n"/>
      <c r="D150" s="67" t="n"/>
      <c r="E150" s="67" t="n"/>
      <c r="F150" s="95" t="n"/>
      <c r="G150" s="115">
        <f>C150/F150</f>
        <v/>
      </c>
      <c r="H150" s="115">
        <f>D150/F150</f>
        <v/>
      </c>
      <c r="I150" s="113" t="n"/>
      <c r="J150" s="113" t="n"/>
      <c r="K150" s="113" t="n"/>
      <c r="L150" s="5" t="n"/>
    </row>
    <row r="151">
      <c r="A151" s="89" t="n">
        <v>27</v>
      </c>
      <c r="B151" s="89" t="n"/>
      <c r="C151" s="90" t="n"/>
      <c r="D151" s="90" t="n"/>
      <c r="E151" s="91" t="n"/>
      <c r="F151" s="92" t="n"/>
      <c r="G151" s="114">
        <f>C151/F151</f>
        <v/>
      </c>
      <c r="H151" s="114">
        <f>D151/F151</f>
        <v/>
      </c>
      <c r="I151" s="113" t="n"/>
      <c r="J151" s="113" t="n"/>
      <c r="K151" s="113" t="n"/>
      <c r="L151" s="5" t="n"/>
    </row>
    <row r="152">
      <c r="A152" s="94" t="n">
        <v>28</v>
      </c>
      <c r="B152" s="94" t="n"/>
      <c r="C152" s="67" t="n"/>
      <c r="D152" s="67" t="n"/>
      <c r="E152" s="67" t="n"/>
      <c r="F152" s="95" t="n"/>
      <c r="G152" s="115">
        <f>C152/F152</f>
        <v/>
      </c>
      <c r="H152" s="115">
        <f>D152/F152</f>
        <v/>
      </c>
      <c r="I152" s="113" t="n"/>
      <c r="J152" s="113" t="n"/>
      <c r="K152" s="113" t="n"/>
      <c r="L152" s="5" t="n"/>
    </row>
    <row r="153">
      <c r="A153" s="97" t="n">
        <v>29</v>
      </c>
      <c r="B153" s="97" t="n"/>
      <c r="C153" s="98" t="n"/>
      <c r="D153" s="98" t="n"/>
      <c r="E153" s="99" t="n"/>
      <c r="F153" s="100" t="n"/>
      <c r="G153" s="116">
        <f>C153/F153</f>
        <v/>
      </c>
      <c r="H153" s="116">
        <f>D153/F153</f>
        <v/>
      </c>
      <c r="I153" s="113" t="n"/>
      <c r="J153" s="113" t="n"/>
      <c r="K153" s="113" t="n"/>
      <c r="L153" s="5" t="n"/>
    </row>
    <row r="154">
      <c r="A154" s="89" t="n">
        <v>30</v>
      </c>
      <c r="B154" s="89" t="n"/>
      <c r="C154" s="90" t="n"/>
      <c r="D154" s="90" t="n"/>
      <c r="E154" s="91" t="n"/>
      <c r="F154" s="92" t="n"/>
      <c r="G154" s="114">
        <f>C154/F154</f>
        <v/>
      </c>
      <c r="H154" s="114">
        <f>D154/F154</f>
        <v/>
      </c>
      <c r="I154" s="113" t="n"/>
      <c r="J154" s="113" t="n"/>
      <c r="K154" s="113" t="n"/>
      <c r="L154" s="5" t="n"/>
    </row>
    <row r="155">
      <c r="A155" s="89" t="n">
        <v>31</v>
      </c>
      <c r="B155" s="89" t="n"/>
      <c r="C155" s="90" t="n"/>
      <c r="D155" s="90" t="n"/>
      <c r="E155" s="91" t="n"/>
      <c r="F155" s="92" t="n"/>
      <c r="G155" s="114">
        <f>C155/F155</f>
        <v/>
      </c>
      <c r="H155" s="114">
        <f>D155/F155</f>
        <v/>
      </c>
      <c r="I155" s="113" t="n"/>
      <c r="J155" s="113" t="n"/>
      <c r="K155" s="113" t="n"/>
      <c r="L155" s="5" t="n"/>
    </row>
    <row r="156">
      <c r="A156" s="89" t="n">
        <v>32</v>
      </c>
      <c r="B156" s="89" t="n"/>
      <c r="C156" s="90" t="n"/>
      <c r="D156" s="90" t="n"/>
      <c r="E156" s="91" t="n"/>
      <c r="F156" s="92" t="n"/>
      <c r="G156" s="114">
        <f>C156/F156</f>
        <v/>
      </c>
      <c r="H156" s="114">
        <f>D156/F156</f>
        <v/>
      </c>
      <c r="I156" s="113" t="n"/>
      <c r="J156" s="113" t="n"/>
      <c r="K156" s="113" t="n"/>
      <c r="L156" s="5" t="n"/>
    </row>
    <row r="157">
      <c r="A157" s="94" t="n">
        <v>33</v>
      </c>
      <c r="B157" s="94" t="n"/>
      <c r="C157" s="67" t="n"/>
      <c r="D157" s="67" t="n"/>
      <c r="E157" s="67" t="n"/>
      <c r="F157" s="95" t="n"/>
      <c r="G157" s="115">
        <f>C157/F157</f>
        <v/>
      </c>
      <c r="H157" s="115">
        <f>D157/F157</f>
        <v/>
      </c>
      <c r="I157" s="113" t="n"/>
      <c r="J157" s="113" t="n"/>
      <c r="K157" s="113" t="n"/>
      <c r="L157" s="5" t="n"/>
    </row>
    <row r="158">
      <c r="A158" s="89" t="n">
        <v>34</v>
      </c>
      <c r="B158" s="89" t="n"/>
      <c r="C158" s="90" t="n"/>
      <c r="D158" s="90" t="n"/>
      <c r="E158" s="91" t="n"/>
      <c r="F158" s="92" t="n"/>
      <c r="G158" s="114">
        <f>C158/F158</f>
        <v/>
      </c>
      <c r="H158" s="114">
        <f>D158/F158</f>
        <v/>
      </c>
      <c r="I158" s="113" t="n"/>
      <c r="J158" s="113" t="n"/>
      <c r="K158" s="113" t="n"/>
      <c r="L158" s="5" t="n"/>
    </row>
    <row r="159">
      <c r="A159" s="89" t="n">
        <v>35</v>
      </c>
      <c r="B159" s="89" t="n"/>
      <c r="C159" s="90" t="n"/>
      <c r="D159" s="90" t="n"/>
      <c r="E159" s="91" t="n"/>
      <c r="F159" s="92" t="n"/>
      <c r="G159" s="114">
        <f>C159/F159</f>
        <v/>
      </c>
      <c r="H159" s="114">
        <f>D159/F159</f>
        <v/>
      </c>
      <c r="I159" s="113" t="n"/>
      <c r="J159" s="113" t="n"/>
      <c r="K159" s="113" t="n"/>
      <c r="L159" s="5" t="n"/>
    </row>
    <row r="160">
      <c r="A160" s="97" t="n">
        <v>36</v>
      </c>
      <c r="B160" s="97" t="n"/>
      <c r="C160" s="98" t="n"/>
      <c r="D160" s="98" t="n"/>
      <c r="E160" s="99" t="n"/>
      <c r="F160" s="100" t="n"/>
      <c r="G160" s="116">
        <f>C160/F160</f>
        <v/>
      </c>
      <c r="H160" s="116">
        <f>D160/F160</f>
        <v/>
      </c>
      <c r="I160" s="113" t="n"/>
      <c r="J160" s="113" t="n"/>
      <c r="K160" s="113" t="n"/>
      <c r="L160" s="5" t="n"/>
    </row>
    <row r="161">
      <c r="A161" s="94" t="n">
        <v>37</v>
      </c>
      <c r="B161" s="94" t="n"/>
      <c r="C161" s="67" t="n"/>
      <c r="D161" s="67" t="n"/>
      <c r="E161" s="67" t="n"/>
      <c r="F161" s="95" t="n"/>
      <c r="G161" s="115">
        <f>C161/F161</f>
        <v/>
      </c>
      <c r="H161" s="115">
        <f>D161/F161</f>
        <v/>
      </c>
      <c r="I161" s="113" t="n"/>
      <c r="J161" s="113" t="n"/>
      <c r="K161" s="113" t="n"/>
      <c r="L161" s="5" t="n"/>
    </row>
    <row r="162">
      <c r="A162" s="94" t="n">
        <v>38</v>
      </c>
      <c r="B162" s="94" t="n"/>
      <c r="C162" s="67" t="n"/>
      <c r="D162" s="67" t="n"/>
      <c r="E162" s="67" t="n"/>
      <c r="F162" s="95" t="n"/>
      <c r="G162" s="115">
        <f>C162/F162</f>
        <v/>
      </c>
      <c r="H162" s="115">
        <f>D162/F162</f>
        <v/>
      </c>
      <c r="I162" s="113" t="n"/>
      <c r="J162" s="113" t="n"/>
      <c r="K162" s="113" t="n"/>
      <c r="L162" s="5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5" t="n"/>
      <c r="K163" s="5" t="n"/>
      <c r="L163" s="5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5" t="n"/>
      <c r="K164" s="5" t="n"/>
      <c r="L164" s="5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5" t="n"/>
      <c r="K165" s="5" t="n"/>
      <c r="L165" s="5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5" t="n"/>
      <c r="K166" s="5" t="n"/>
      <c r="L166" s="5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5" t="n"/>
      <c r="K167" s="5" t="n"/>
      <c r="L167" s="5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5" t="n"/>
      <c r="K168" s="5" t="n"/>
      <c r="L168" s="5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5" t="n"/>
      <c r="K169" s="5" t="n"/>
      <c r="L169" s="5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5" t="n"/>
      <c r="K170" s="5" t="n"/>
      <c r="L170" s="5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5" t="n"/>
      <c r="K171" s="5" t="n"/>
      <c r="L171" s="5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5" t="n"/>
      <c r="K172" s="5" t="n"/>
      <c r="L172" s="5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5" t="n"/>
      <c r="K173" s="5" t="n"/>
      <c r="L173" s="5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5" t="n"/>
      <c r="K174" s="5" t="n"/>
      <c r="L174" s="5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5" t="n"/>
      <c r="K175" s="5" t="n"/>
      <c r="L175" s="5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5" t="n"/>
      <c r="K176" s="5" t="n"/>
      <c r="L176" s="5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5" t="n"/>
      <c r="K177" s="5" t="n"/>
      <c r="L177" s="5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5" t="n"/>
      <c r="K178" s="5" t="n"/>
      <c r="L178" s="5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5" t="n"/>
      <c r="K179" s="5" t="n"/>
      <c r="L179" s="5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5" t="n"/>
      <c r="K180" s="5" t="n"/>
      <c r="L180" s="5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5" t="n"/>
      <c r="K181" s="5" t="n"/>
      <c r="L181" s="5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5" t="n"/>
      <c r="K182" s="5" t="n"/>
      <c r="L182" s="5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5" t="n"/>
      <c r="K183" s="5" t="n"/>
      <c r="L183" s="5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5" t="n"/>
      <c r="K184" s="5" t="n"/>
      <c r="L184" s="5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5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5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5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5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5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5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5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5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5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5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5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5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5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5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5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5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5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5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5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5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5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5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5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5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5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5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5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5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5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5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5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5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5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5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5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5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5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5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5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5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5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5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5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5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5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5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5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5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5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5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5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5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5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5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5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5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5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5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5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5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5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</sheetData>
  <mergeCells count="44">
    <mergeCell ref="B7:F7"/>
    <mergeCell ref="H10:I10"/>
    <mergeCell ref="F77:I77"/>
    <mergeCell ref="K9:L9"/>
    <mergeCell ref="K5:L5"/>
    <mergeCell ref="J4:L4"/>
    <mergeCell ref="H9:I9"/>
    <mergeCell ref="A101:I101"/>
    <mergeCell ref="A2:L2"/>
    <mergeCell ref="B12:F12"/>
    <mergeCell ref="K11:L11"/>
    <mergeCell ref="A31:D31"/>
    <mergeCell ref="H6:I6"/>
    <mergeCell ref="B11:F11"/>
    <mergeCell ref="A39:D39"/>
    <mergeCell ref="A14:L14"/>
    <mergeCell ref="G4:I4"/>
    <mergeCell ref="F16:I16"/>
    <mergeCell ref="A4:F4"/>
    <mergeCell ref="B8:F8"/>
    <mergeCell ref="A51:D51"/>
    <mergeCell ref="A60:D60"/>
    <mergeCell ref="A45:D45"/>
    <mergeCell ref="H11:I11"/>
    <mergeCell ref="F40:I40"/>
    <mergeCell ref="K12:L12"/>
    <mergeCell ref="K8:L8"/>
    <mergeCell ref="H7:I7"/>
    <mergeCell ref="B10:F10"/>
    <mergeCell ref="A102:I102"/>
    <mergeCell ref="A16:D16"/>
    <mergeCell ref="B9:F9"/>
    <mergeCell ref="K7:L7"/>
    <mergeCell ref="H12:I12"/>
    <mergeCell ref="A18:D18"/>
    <mergeCell ref="B6:F6"/>
    <mergeCell ref="A122:H122"/>
    <mergeCell ref="A1:L1"/>
    <mergeCell ref="K10:L10"/>
    <mergeCell ref="B5:F5"/>
    <mergeCell ref="A110:I110"/>
    <mergeCell ref="H5:I5"/>
    <mergeCell ref="H8:I8"/>
    <mergeCell ref="K6:L6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2026-03-28T17:01:15Z</dcterms:created>
  <dcterms:modified xsi:type="dcterms:W3CDTF">2026-03-28T17:01:15Z</dcterms:modified>
</cp:coreProperties>
</file>