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" sheetId="1" r:id="rId5"/>
    <sheet state="visible" name="RUBS" sheetId="2" r:id="rId6"/>
    <sheet state="visible" name="Equity Partner" sheetId="3" r:id="rId7"/>
    <sheet state="visible" name="OM DATA PARSING MAP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7">
      <text>
        <t xml:space="preserve">Linked from Model!D7 - Total Units</t>
      </text>
    </comment>
    <comment authorId="0" ref="C8">
      <text>
        <t xml:space="preserve">Linked from Model!D8 - Total SF</t>
      </text>
    </comment>
    <comment authorId="0" ref="C11">
      <text>
        <t xml:space="preserve">Admin fee charged per unit per month (e.g., $5/unit/mo)</t>
      </text>
    </comment>
    <comment authorId="0" ref="C12">
      <text>
        <t xml:space="preserve">Alternatively, charge a percentage markup on allocated costs</t>
      </text>
    </comment>
    <comment authorId="0" ref="C13">
      <text>
        <t xml:space="preserve">Enter '$/unit' to use flat fee or '% markup' to use percentage</t>
      </text>
    </comment>
    <comment authorId="0" ref="C14">
      <text>
        <t xml:space="preserve">Target cost recovery percentage (100% = full cost recovery)</t>
      </text>
    </comment>
    <comment authorId="0" ref="E18">
      <text>
        <t xml:space="preserve">Allocation Methods:
• SF = Allocate by square footage
• Units = Equal allocation per unit
• Occupancy = Allocate by number of occupants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6">
      <text>
        <t xml:space="preserve">Linked from Model!D185 - Preferred return hurdle rate</t>
      </text>
    </comment>
    <comment authorId="0" ref="C10">
      <text>
        <t xml:space="preserve">Linked from Model!D169 - LP Equity (90% of total equity)</t>
      </text>
    </comment>
    <comment authorId="0" ref="C11">
      <text>
        <t xml:space="preserve">Linked from Model!D170 - GP Equity (10% of total equity)</t>
      </text>
    </comment>
    <comment authorId="0" ref="F13">
      <text>
        <t xml:space="preserve">Linked from Model!D188 - LP split after preferred return is met</t>
      </text>
    </comment>
    <comment authorId="0" ref="F14">
      <text>
        <t xml:space="preserve">Linked from Model!D189 - GP promote after preferred return is met</t>
      </text>
    </comment>
    <comment authorId="0" ref="C18">
      <text>
        <t xml:space="preserve">Enter hold period in years (e.g., 5 for 5-year hold)</t>
      </text>
    </comment>
    <comment authorId="0" ref="B25">
      <text>
        <t xml:space="preserve">Annual preferred return owed to LP based on 8% pref rate</t>
      </text>
    </comment>
    <comment authorId="0" ref="B26">
      <text>
        <t xml:space="preserve">LP distributions from Model waterfall calculation</t>
      </text>
    </comment>
    <comment authorId="0" ref="B27">
      <text>
        <t xml:space="preserve">GP distributions (promote) from Model waterfall calculation</t>
      </text>
    </comment>
    <comment authorId="0" ref="C36">
      <text>
        <t xml:space="preserve">Total distributions divided by initial investment</t>
      </text>
    </comment>
    <comment authorId="0" ref="C39">
      <text>
        <t xml:space="preserve">IRR linked from Model sheet calculations</t>
      </text>
    </comment>
  </commentList>
</comments>
</file>

<file path=xl/sharedStrings.xml><?xml version="1.0" encoding="utf-8"?>
<sst xmlns="http://schemas.openxmlformats.org/spreadsheetml/2006/main" count="947" uniqueCount="591">
  <si>
    <t>s</t>
  </si>
  <si>
    <t>MULTIFAMILY UNDERWRITING MODEL</t>
  </si>
  <si>
    <t>Comprehensive Analysis with Creative Financing</t>
  </si>
  <si>
    <t>KEY DEAL METRICS</t>
  </si>
  <si>
    <t>SOURCES OF FUNDS</t>
  </si>
  <si>
    <t>USES OF FUNDS</t>
  </si>
  <si>
    <t>TRADITIONAL LOAN</t>
  </si>
  <si>
    <t>Property Name</t>
  </si>
  <si>
    <t>Riverside</t>
  </si>
  <si>
    <t>Source</t>
  </si>
  <si>
    <t>Amount</t>
  </si>
  <si>
    <t>%</t>
  </si>
  <si>
    <t>Use</t>
  </si>
  <si>
    <t>Loan Amount</t>
  </si>
  <si>
    <t>Total Units</t>
  </si>
  <si>
    <t>Model!D9</t>
  </si>
  <si>
    <t>Traditional Loan</t>
  </si>
  <si>
    <t>Purchase Price</t>
  </si>
  <si>
    <t>Interest Rate</t>
  </si>
  <si>
    <t>Total SF</t>
  </si>
  <si>
    <t>Seller Financing</t>
  </si>
  <si>
    <t>Closing Costs</t>
  </si>
  <si>
    <t>Term (Months)</t>
  </si>
  <si>
    <t>Seller Carryback</t>
  </si>
  <si>
    <t>Due Diligence</t>
  </si>
  <si>
    <t>Amortization (Months)</t>
  </si>
  <si>
    <t>Price Per SF</t>
  </si>
  <si>
    <t>LP Equity</t>
  </si>
  <si>
    <t>Financing Costs</t>
  </si>
  <si>
    <t>Monthly P&amp;I</t>
  </si>
  <si>
    <t>Year 1 NOI</t>
  </si>
  <si>
    <t>GP Equity</t>
  </si>
  <si>
    <t>Operating Reserves</t>
  </si>
  <si>
    <t>Annual Debt Service</t>
  </si>
  <si>
    <t>Going-In Cap Rate</t>
  </si>
  <si>
    <t>Total Sources</t>
  </si>
  <si>
    <t>Total Uses</t>
  </si>
  <si>
    <t>Stabilized Cap Rate</t>
  </si>
  <si>
    <t>Model!D13</t>
  </si>
  <si>
    <t>SELLER CARRYBACK / EQUITY PARTNER</t>
  </si>
  <si>
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</si>
  <si>
    <t>UNIT MIX &amp; RENT ROLL</t>
  </si>
  <si>
    <t>Unit #</t>
  </si>
  <si>
    <t>Type</t>
  </si>
  <si>
    <t>SF</t>
  </si>
  <si>
    <t>Status</t>
  </si>
  <si>
    <t>Market Rent</t>
  </si>
  <si>
    <t>In-Place Rent</t>
  </si>
  <si>
    <t>Loss to Lease</t>
  </si>
  <si>
    <t>Interest-Only (Y/N)</t>
  </si>
  <si>
    <t>studio</t>
  </si>
  <si>
    <t>rented</t>
  </si>
  <si>
    <t>Monthly Payment</t>
  </si>
  <si>
    <t>1bed/1bath</t>
  </si>
  <si>
    <t>2b/2bath</t>
  </si>
  <si>
    <t>SELLER FINANCING (1ST POSITION)</t>
  </si>
  <si>
    <t>Interest-Only Period (Mo)</t>
  </si>
  <si>
    <t>Monthly P&amp;I (after IO)</t>
  </si>
  <si>
    <t>Monthly IO Payment</t>
  </si>
  <si>
    <t>TOTALS</t>
  </si>
  <si>
    <t>BLENDED FINANCING SUMMARY</t>
  </si>
  <si>
    <t>Total Debt</t>
  </si>
  <si>
    <t>REVENUE PROJECTIONS</t>
  </si>
  <si>
    <t>Total Annual Debt Service</t>
  </si>
  <si>
    <t>Revenue Item</t>
  </si>
  <si>
    <t>$/Unit/Mo</t>
  </si>
  <si>
    <t>Annual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</si>
  <si>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</si>
  <si>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</si>
  <si>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</si>
  <si>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</si>
  <si>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</si>
  <si>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</si>
  <si>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</si>
  <si>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</si>
  <si>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</si>
  <si>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Blended Interest Rate</t>
  </si>
  <si>
    <t>Gross Potential Rent</t>
  </si>
  <si>
    <t>Debt Yield</t>
  </si>
  <si>
    <t>(Less) Vacancy</t>
  </si>
  <si>
    <t>LTV (% of Purchase)</t>
  </si>
  <si>
    <t>(Less) Loss to Lease</t>
  </si>
  <si>
    <t>(Less) Concessions</t>
  </si>
  <si>
    <t>(Less) Bad Debt</t>
  </si>
  <si>
    <t>Net Rental Income</t>
  </si>
  <si>
    <t>EFFECTIVE GROSS INCOME</t>
  </si>
  <si>
    <t>OPERATING EXPENSES</t>
  </si>
  <si>
    <t>Expense Item</t>
  </si>
  <si>
    <t>Year 10</t>
  </si>
  <si>
    <t>Real Estate Taxes</t>
  </si>
  <si>
    <t>Property Insurance</t>
  </si>
  <si>
    <t>Water/Sewer</t>
  </si>
  <si>
    <t>Electric (Common)</t>
  </si>
  <si>
    <t>Gas</t>
  </si>
  <si>
    <t>Trash Removal</t>
  </si>
  <si>
    <t>Repairs &amp; Maintenance</t>
  </si>
  <si>
    <t>Landscaping</t>
  </si>
  <si>
    <t>Model!E117</t>
  </si>
  <si>
    <t>Pest Control</t>
  </si>
  <si>
    <t>Snow Removal</t>
  </si>
  <si>
    <t>Unit Turnover</t>
  </si>
  <si>
    <t>Management Fee</t>
  </si>
  <si>
    <t>On-Site Payroll</t>
  </si>
  <si>
    <t>Marketing &amp; Advertising</t>
  </si>
  <si>
    <t>Legal &amp; Professional</t>
  </si>
  <si>
    <t>Accounting</t>
  </si>
  <si>
    <t>Administrative</t>
  </si>
  <si>
    <t>Security</t>
  </si>
  <si>
    <t>Cable/Internet</t>
  </si>
  <si>
    <t>Elevator Maintenance</t>
  </si>
  <si>
    <t>Pool Maintenance</t>
  </si>
  <si>
    <t>Replacement Reserves</t>
  </si>
  <si>
    <t>TOTAL OPERATING EXPENSES</t>
  </si>
  <si>
    <t>NET OPERATING INCOME (NOI)</t>
  </si>
  <si>
    <t>Expense Ratio (% of EGI)</t>
  </si>
  <si>
    <t>NOI Per Unit</t>
  </si>
  <si>
    <t>CASH FLOW PROJECTIONS</t>
  </si>
  <si>
    <t>Cash Flow Item</t>
  </si>
  <si>
    <t>Year 0</t>
  </si>
  <si>
    <t>Net Operating Income</t>
  </si>
  <si>
    <t>(-) Traditional Loan DS</t>
  </si>
  <si>
    <t>(-) Seller Financing DS</t>
  </si>
  <si>
    <t>(-) Seller Carryback DS</t>
  </si>
  <si>
    <t>Total Debt Service</t>
  </si>
  <si>
    <t>(-) CapEx/Reserves</t>
  </si>
  <si>
    <t>Before-Tax Cash Flow</t>
  </si>
  <si>
    <t>DSCR (NOI/Debt Service)</t>
  </si>
  <si>
    <t>Cash-on-Cash Return</t>
  </si>
  <si>
    <t>SALE / REVERSION ANALYSIS</t>
  </si>
  <si>
    <t>Exit Cap Rate Applied</t>
  </si>
  <si>
    <t>Forward NOI (Next Year)</t>
  </si>
  <si>
    <t>Gross Sale Price</t>
  </si>
  <si>
    <t>(-) Selling Costs</t>
  </si>
  <si>
    <t>(-) Loan Payoffs</t>
  </si>
  <si>
    <t>Net Sale Proceeds</t>
  </si>
  <si>
    <t>EQUITY INVESTMENT</t>
  </si>
  <si>
    <t>Total Acquisition Cost</t>
  </si>
  <si>
    <t>(-) Total Debt</t>
  </si>
  <si>
    <t>Required Equity</t>
  </si>
  <si>
    <t>LP Equity (90%)</t>
  </si>
  <si>
    <t>GP Equity (10%)</t>
  </si>
  <si>
    <t>IRR CASH FLOWS</t>
  </si>
  <si>
    <t>Initial Investment</t>
  </si>
  <si>
    <t>Operating Cash Flow</t>
  </si>
  <si>
    <t>Sale Proceeds (5-Yr)</t>
  </si>
  <si>
    <t>Sale Proceeds (10-Yr)</t>
  </si>
  <si>
    <t>Total CF (5-Yr Exit)</t>
  </si>
  <si>
    <t>Total CF (10-Yr Exit)</t>
  </si>
  <si>
    <t>VALUE-ADD ANALYSIS</t>
  </si>
  <si>
    <t>Impact of Rent Increases &amp; Expense Reductions on Property Value</t>
  </si>
  <si>
    <t>SCENARIO INPUTS</t>
  </si>
  <si>
    <t>Monthly Rent Increase ($/unit)</t>
  </si>
  <si>
    <t>Model!O230</t>
  </si>
  <si>
    <t>Annual Expense Reduction ($/unit)</t>
  </si>
  <si>
    <t>Model!O231</t>
  </si>
  <si>
    <t>Renovation Cost (Total)</t>
  </si>
  <si>
    <t>Entry Cap Rate (Current)</t>
  </si>
  <si>
    <t>Exit Cap Rate</t>
  </si>
  <si>
    <t>NOI IMPACT</t>
  </si>
  <si>
    <t>Current</t>
  </si>
  <si>
    <t>Pro Forma</t>
  </si>
  <si>
    <t>Change</t>
  </si>
  <si>
    <t>Gross Rental Income</t>
  </si>
  <si>
    <t>Operating Expenses</t>
  </si>
  <si>
    <t>VALUATION IMPACT</t>
  </si>
  <si>
    <t>Value Created</t>
  </si>
  <si>
    <t>Value @ Entry Cap Rate</t>
  </si>
  <si>
    <t>Value @ Exit Cap Rate</t>
  </si>
  <si>
    <t>VALUE CREATION SUMMARY</t>
  </si>
  <si>
    <t>Renovation Investment</t>
  </si>
  <si>
    <t>NOI Increase (Annual)</t>
  </si>
  <si>
    <t>Value Created @ Entry Cap</t>
  </si>
  <si>
    <t>Value Created @ Exit Cap</t>
  </si>
  <si>
    <t>Return on Renovation (Entry Cap)</t>
  </si>
  <si>
    <t>Return on Renovation (Exit Cap)</t>
  </si>
  <si>
    <t>Cash-on-Cash on Reno Spend</t>
  </si>
  <si>
    <t>RATIO UTILITY BILLING SYSTEM (RUBS)</t>
  </si>
  <si>
    <t>Utility Cost Allocation &amp; Recovery Model</t>
  </si>
  <si>
    <t>CONFIGURATION</t>
  </si>
  <si>
    <t>INSTRUCTIONS</t>
  </si>
  <si>
    <t>Property References</t>
  </si>
  <si>
    <t>1. Enter monthly utility costs in the Utility Cost Inputs section (blue cells)</t>
  </si>
  <si>
    <t>2. Select allocation method for each utility: SF, Units, or Occupancy</t>
  </si>
  <si>
    <t>3. Enter occupant count per unit in the Unit Detail table (blue cells)</t>
  </si>
  <si>
    <t>4. Adjust admin fee settings as needed ($/unit or % markup)</t>
  </si>
  <si>
    <t>Admin Fee Settings</t>
  </si>
  <si>
    <t>5. Review Summary Output for cost recovery analysis</t>
  </si>
  <si>
    <t>Admin Fee ($/unit/mo)</t>
  </si>
  <si>
    <t>Admin Fee (% markup)</t>
  </si>
  <si>
    <t>COLOR LEGEND:</t>
  </si>
  <si>
    <t>Use Fee Method</t>
  </si>
  <si>
    <t>$/unit</t>
  </si>
  <si>
    <t>($/unit or % markup)</t>
  </si>
  <si>
    <t>Blue text = User input</t>
  </si>
  <si>
    <t>Target Recovery %</t>
  </si>
  <si>
    <t>Green text = Cross-sheet reference</t>
  </si>
  <si>
    <t>Black text = Calculated formula</t>
  </si>
  <si>
    <t>UTILITY COST INPUTS</t>
  </si>
  <si>
    <t>Utility</t>
  </si>
  <si>
    <t>Monthly Cost</t>
  </si>
  <si>
    <t>Annual Cost</t>
  </si>
  <si>
    <t>Allocation Method</t>
  </si>
  <si>
    <t>Methods: SF, Units, Occupancy</t>
  </si>
  <si>
    <t>Units</t>
  </si>
  <si>
    <t>Trash</t>
  </si>
  <si>
    <t>Other</t>
  </si>
  <si>
    <t>TOTAL</t>
  </si>
  <si>
    <t>SUMMARY OUTPUT</t>
  </si>
  <si>
    <t>Cost Recovery</t>
  </si>
  <si>
    <t>Monthly</t>
  </si>
  <si>
    <t>Total Utility Costs</t>
  </si>
  <si>
    <t>Total Allocated to Units</t>
  </si>
  <si>
    <t>Admin Fees Collected</t>
  </si>
  <si>
    <t>Gross Revenue from RUBS</t>
  </si>
  <si>
    <t>Net Recovery</t>
  </si>
  <si>
    <t>Recovery Metrics</t>
  </si>
  <si>
    <t>Recovery % Achieved</t>
  </si>
  <si>
    <t>Variance vs Target</t>
  </si>
  <si>
    <t>Cost per Unit (Monthly)</t>
  </si>
  <si>
    <t>Cost per SF (Monthly)</t>
  </si>
  <si>
    <t>Revenue per Unit (Monthly)</t>
  </si>
  <si>
    <t>UNIT-LEVEL DETAIL</t>
  </si>
  <si>
    <t>Occupants</t>
  </si>
  <si>
    <t>Electric</t>
  </si>
  <si>
    <t>Total Monthly</t>
  </si>
  <si>
    <t>Total Annual</t>
  </si>
  <si>
    <t>Allocation Check</t>
  </si>
  <si>
    <t>EQUITY PARTNER SUMMARY</t>
  </si>
  <si>
    <t>Investment Structure, Distributions &amp; Returns Analysis</t>
  </si>
  <si>
    <t>INVESTMENT SUMMARY</t>
  </si>
  <si>
    <t>WATERFALL STRUCTURE</t>
  </si>
  <si>
    <t>Preferred Return (Pref)</t>
  </si>
  <si>
    <t>Annual hurdle rate</t>
  </si>
  <si>
    <t>Pre-Pref Splits:</t>
  </si>
  <si>
    <t xml:space="preserve">  LP Share</t>
  </si>
  <si>
    <t>LP Equity Investment</t>
  </si>
  <si>
    <t xml:space="preserve">  GP Share</t>
  </si>
  <si>
    <t>GP Equity Investment</t>
  </si>
  <si>
    <t>LP Ownership %</t>
  </si>
  <si>
    <t>Post-Pref Splits:</t>
  </si>
  <si>
    <t>GP Ownership %</t>
  </si>
  <si>
    <t xml:space="preserve">  GP Promote</t>
  </si>
  <si>
    <t>EXIT STRATEGY</t>
  </si>
  <si>
    <t>Forward NOI at Exit</t>
  </si>
  <si>
    <t>Hold Period</t>
  </si>
  <si>
    <t>Years</t>
  </si>
  <si>
    <t>ANNUAL DISTRIBUTION WATERFALL</t>
  </si>
  <si>
    <t>Exit</t>
  </si>
  <si>
    <t>Total</t>
  </si>
  <si>
    <t>Distributable Cash</t>
  </si>
  <si>
    <t>LP Preferred Return</t>
  </si>
  <si>
    <t>LP Distribution</t>
  </si>
  <si>
    <t>GP Distribution</t>
  </si>
  <si>
    <t>Check (should = 0)</t>
  </si>
  <si>
    <t>RETURN METRICS</t>
  </si>
  <si>
    <t>LP CASH FLOW SUMMARY</t>
  </si>
  <si>
    <t>Metric</t>
  </si>
  <si>
    <t>LP</t>
  </si>
  <si>
    <t>GP</t>
  </si>
  <si>
    <t>Item</t>
  </si>
  <si>
    <t>Cash Out</t>
  </si>
  <si>
    <t>Total Distributions</t>
  </si>
  <si>
    <t>Year 1 Distribution</t>
  </si>
  <si>
    <t>Cash In</t>
  </si>
  <si>
    <t>Net Profit</t>
  </si>
  <si>
    <t>Year 2 Distribution</t>
  </si>
  <si>
    <t>Multiple on Invested Capital</t>
  </si>
  <si>
    <t>Year 3 Distribution</t>
  </si>
  <si>
    <t>Cash-on-Cash (Year 1)</t>
  </si>
  <si>
    <t>Year 4 Distribution</t>
  </si>
  <si>
    <t>Year 5 Distribution</t>
  </si>
  <si>
    <t>IRR (5-Yr Exit)</t>
  </si>
  <si>
    <t>Exit Proceeds (LP Share)</t>
  </si>
  <si>
    <t>Net Cash Position</t>
  </si>
  <si>
    <t>Note: This sheet pulls data from Model sheet. Errors will resolve when Model data is populated.</t>
  </si>
  <si>
    <t>Green text = Linked from Model sheet</t>
  </si>
  <si>
    <t>OM DATA PARSING MAP</t>
  </si>
  <si>
    <t>Map incoming Offering Memorandum data to underwriting model cells</t>
  </si>
  <si>
    <t>1. Paste OM data in Column C (Source Value)</t>
  </si>
  <si>
    <t>2. Values automatically map to the Model sheet via formulas</t>
  </si>
  <si>
    <t>3. Yellow cells = required inputs, Gray cells = optional</t>
  </si>
  <si>
    <t>OM Field Name</t>
  </si>
  <si>
    <t>Source Value (Paste Here)</t>
  </si>
  <si>
    <t>Data Type</t>
  </si>
  <si>
    <t>Maps To Cell</t>
  </si>
  <si>
    <t>Model Section</t>
  </si>
  <si>
    <t>Notes</t>
  </si>
  <si>
    <t>PROPERTY INFORMATION</t>
  </si>
  <si>
    <t>Text</t>
  </si>
  <si>
    <t>Model!D6</t>
  </si>
  <si>
    <t>Key Metrics</t>
  </si>
  <si>
    <t>Property Address</t>
  </si>
  <si>
    <t>Model!D7 (note)</t>
  </si>
  <si>
    <t>Store in note or separate field</t>
  </si>
  <si>
    <t>Number</t>
  </si>
  <si>
    <t>Model!D7</t>
  </si>
  <si>
    <t>Required</t>
  </si>
  <si>
    <t>Total Square Feet</t>
  </si>
  <si>
    <t>Model!D8</t>
  </si>
  <si>
    <t>Building SF</t>
  </si>
  <si>
    <t>Year Built</t>
  </si>
  <si>
    <t>Model!D22</t>
  </si>
  <si>
    <t>Assumptions</t>
  </si>
  <si>
    <t>Lot Size (Acres)</t>
  </si>
  <si>
    <t>-</t>
  </si>
  <si>
    <t>Reference</t>
  </si>
  <si>
    <t>Not mapped - for reference</t>
  </si>
  <si>
    <t>Zoning</t>
  </si>
  <si>
    <t>Parking Spaces</t>
  </si>
  <si>
    <t>ACQUISITION / PRICING</t>
  </si>
  <si>
    <t>Asking Price</t>
  </si>
  <si>
    <t>Currency</t>
  </si>
  <si>
    <t>Purchase Price input</t>
  </si>
  <si>
    <t>Price Per Unit</t>
  </si>
  <si>
    <t>Calculated</t>
  </si>
  <si>
    <t>Auto-calculated from Price/Units</t>
  </si>
  <si>
    <t>Auto-calculated</t>
  </si>
  <si>
    <t>Current Cap Rate</t>
  </si>
  <si>
    <t>Percent</t>
  </si>
  <si>
    <t>Seller's stated cap</t>
  </si>
  <si>
    <t>Pro Forma Cap Rate</t>
  </si>
  <si>
    <t>Seller's pro forma</t>
  </si>
  <si>
    <t>Model!D23</t>
  </si>
  <si>
    <t>Estimate if not provided</t>
  </si>
  <si>
    <t>Due Diligence Budget</t>
  </si>
  <si>
    <t>Model!D24</t>
  </si>
  <si>
    <t>CapEx Budget</t>
  </si>
  <si>
    <t>Model!D25</t>
  </si>
  <si>
    <t>Renovation/deferred maint</t>
  </si>
  <si>
    <t>INCOME (T-12 or Pro Forma)</t>
  </si>
  <si>
    <t>Gross Potential Rent (Annual)</t>
  </si>
  <si>
    <t>Model!D63</t>
  </si>
  <si>
    <t>Revenue</t>
  </si>
  <si>
    <t>GPR from OM</t>
  </si>
  <si>
    <t>Vacancy Loss %</t>
  </si>
  <si>
    <t>Model!H22</t>
  </si>
  <si>
    <t>Economic vacancy rate</t>
  </si>
  <si>
    <t>Loss to Lease (Annual)</t>
  </si>
  <si>
    <t>Model!D65</t>
  </si>
  <si>
    <t>Below-market leases</t>
  </si>
  <si>
    <t>Concessions (Annual)</t>
  </si>
  <si>
    <t>Use % in Model!H24</t>
  </si>
  <si>
    <t>Bad Debt %</t>
  </si>
  <si>
    <t>Model!H23</t>
  </si>
  <si>
    <t>Laundry Income</t>
  </si>
  <si>
    <t>Model!C71</t>
  </si>
  <si>
    <t>$/unit/month</t>
  </si>
  <si>
    <t>Parking Income</t>
  </si>
  <si>
    <t>Model!C72</t>
  </si>
  <si>
    <t>Pet Income</t>
  </si>
  <si>
    <t>Model!C73</t>
  </si>
  <si>
    <t>Other Income</t>
  </si>
  <si>
    <t>Model!C74-C76</t>
  </si>
  <si>
    <t>Split across line items</t>
  </si>
  <si>
    <t>RUBS/Utility Reimbursement</t>
  </si>
  <si>
    <t>Model!C81-C84</t>
  </si>
  <si>
    <t>If tenant-paid utilities</t>
  </si>
  <si>
    <t>OPERATING EXPENSES (T-12 or Pro Forma)</t>
  </si>
  <si>
    <t>Model!C93</t>
  </si>
  <si>
    <t>Expenses</t>
  </si>
  <si>
    <t>Annual or $/unit/mo</t>
  </si>
  <si>
    <t>Model!C94</t>
  </si>
  <si>
    <t>Model!C95</t>
  </si>
  <si>
    <t>If owner-paid</t>
  </si>
  <si>
    <t>Electric (Common Area)</t>
  </si>
  <si>
    <t>Model!C96</t>
  </si>
  <si>
    <t>Model!C97</t>
  </si>
  <si>
    <t>Model!C98</t>
  </si>
  <si>
    <t>Model!C99</t>
  </si>
  <si>
    <t>Model!C100</t>
  </si>
  <si>
    <t>Model!C101</t>
  </si>
  <si>
    <t>Model!C102</t>
  </si>
  <si>
    <t>If applicable</t>
  </si>
  <si>
    <t>Unit Turnover/Make Ready</t>
  </si>
  <si>
    <t>Model!C103</t>
  </si>
  <si>
    <t>Management Fee %</t>
  </si>
  <si>
    <t>Model!H25</t>
  </si>
  <si>
    <t>% of EGI</t>
  </si>
  <si>
    <t>Model!C105</t>
  </si>
  <si>
    <t>Marketing/Advertising</t>
  </si>
  <si>
    <t>Model!C106</t>
  </si>
  <si>
    <t>Model!C107</t>
  </si>
  <si>
    <t>Model!C108</t>
  </si>
  <si>
    <t>Administrative/G&amp;A</t>
  </si>
  <si>
    <t>Model!C109</t>
  </si>
  <si>
    <t>Model!C110</t>
  </si>
  <si>
    <t>Model!C111</t>
  </si>
  <si>
    <t>Total Operating Expenses</t>
  </si>
  <si>
    <t>Sum of above - verify</t>
  </si>
  <si>
    <t>NOI (from OM)</t>
  </si>
  <si>
    <t>Compare to model output</t>
  </si>
  <si>
    <t>RENT ROLL DATA</t>
  </si>
  <si>
    <t>Unit Numbers</t>
  </si>
  <si>
    <t>Model!B33:B56</t>
  </si>
  <si>
    <t>Rent Roll</t>
  </si>
  <si>
    <t>List of unit IDs</t>
  </si>
  <si>
    <t>Unit Types (1BR, 2BR, etc)</t>
  </si>
  <si>
    <t>Model!C33:C56</t>
  </si>
  <si>
    <t>Bedroom/bath config</t>
  </si>
  <si>
    <t>Unit Square Feet</t>
  </si>
  <si>
    <t>Model!D33:D56</t>
  </si>
  <si>
    <t>Per unit</t>
  </si>
  <si>
    <t>Unit Status</t>
  </si>
  <si>
    <t>Model!E33:E56</t>
  </si>
  <si>
    <t>Renovated/Classic/Vacant</t>
  </si>
  <si>
    <t>Model!F33:F56</t>
  </si>
  <si>
    <t>Current market rate</t>
  </si>
  <si>
    <t>Model!G33:G56</t>
  </si>
  <si>
    <t>Actual rent collected</t>
  </si>
  <si>
    <t>Lease Start Date</t>
  </si>
  <si>
    <t>Date</t>
  </si>
  <si>
    <t>Model!I33:I56</t>
  </si>
  <si>
    <t>Lease End Date</t>
  </si>
  <si>
    <t>Model!J33:J56</t>
  </si>
  <si>
    <t>Tenant Name</t>
  </si>
  <si>
    <t>Model!K33:K56</t>
  </si>
  <si>
    <t>Or 'Vacant'</t>
  </si>
  <si>
    <t>EXISTING FINANCING (for Subject-To)</t>
  </si>
  <si>
    <t>Existing Loan Balance</t>
  </si>
  <si>
    <t>Model!D127</t>
  </si>
  <si>
    <t>Financing</t>
  </si>
  <si>
    <t>If assuming existing debt</t>
  </si>
  <si>
    <t>Existing Loan Rate</t>
  </si>
  <si>
    <t>Model!D128</t>
  </si>
  <si>
    <t>Current interest rate</t>
  </si>
  <si>
    <t>Remaining Term (Months)</t>
  </si>
  <si>
    <t>Model!D129</t>
  </si>
  <si>
    <t>Months remaining</t>
  </si>
  <si>
    <t>Monthly P&amp;I Payment</t>
  </si>
  <si>
    <t>Verify against model</t>
  </si>
  <si>
    <t>Loan Maturity Date</t>
  </si>
  <si>
    <t>Calculate from term</t>
  </si>
  <si>
    <t>Prepayment Penalty</t>
  </si>
  <si>
    <t>Note any restrictions</t>
  </si>
  <si>
    <t>Assumable (Y/N)</t>
  </si>
  <si>
    <t>Key for subject-to</t>
  </si>
  <si>
    <t>GROWTH ASSUMPTIONS (Your Inputs)</t>
  </si>
  <si>
    <t>Annual Rent Growth %</t>
  </si>
  <si>
    <t>Model!H20</t>
  </si>
  <si>
    <t>Market rent escalation</t>
  </si>
  <si>
    <t>Annual Expense Growth %</t>
  </si>
  <si>
    <t>Model!H21</t>
  </si>
  <si>
    <t>Inflation factor</t>
  </si>
  <si>
    <t>Exit Cap Rate (5-Year)</t>
  </si>
  <si>
    <t>Model!H26</t>
  </si>
  <si>
    <t>For reversion calc</t>
  </si>
  <si>
    <t>Exit Cap Rate (10-Year)</t>
  </si>
  <si>
    <t>Model!H27</t>
  </si>
  <si>
    <t>Selling Costs %</t>
  </si>
  <si>
    <t>Model!L20</t>
  </si>
  <si>
    <t>Broker fees, transfer tax</t>
  </si>
  <si>
    <t>CapEx Reserve $/Unit/Year</t>
  </si>
  <si>
    <t>Model!L21</t>
  </si>
  <si>
    <t>Ongoing reserves</t>
  </si>
  <si>
    <t>QUICK REFERENCE - KEY MODEL CELLS</t>
  </si>
  <si>
    <t>Output</t>
  </si>
  <si>
    <t>Cell</t>
  </si>
  <si>
    <t>Year 1 EGI</t>
  </si>
  <si>
    <t>Model!E87</t>
  </si>
  <si>
    <t>Model!D14</t>
  </si>
  <si>
    <t>Model!D164</t>
  </si>
  <si>
    <t>Model!D197</t>
  </si>
  <si>
    <t>Project IRR (5-Yr)</t>
  </si>
  <si>
    <t>Project IRR (10-Yr)</t>
  </si>
  <si>
    <t>Model!P230</t>
  </si>
  <si>
    <t>LP IRR (5-Yr)</t>
  </si>
  <si>
    <t>LP IRR (10-Yr)</t>
  </si>
  <si>
    <t>Model!P231</t>
  </si>
  <si>
    <t>RUBS Toggle</t>
  </si>
  <si>
    <t>Model!D80</t>
  </si>
  <si>
    <t>1=Tenant, 0=Owner</t>
  </si>
  <si>
    <t>LEGEND</t>
  </si>
  <si>
    <t>Yellow cells</t>
  </si>
  <si>
    <t>Required inputs</t>
  </si>
  <si>
    <t>Gray cells</t>
  </si>
  <si>
    <t>Optional inputs</t>
  </si>
  <si>
    <t>Green cells</t>
  </si>
  <si>
    <t>Your assumptions (not from OM)</t>
  </si>
  <si>
    <t>Blue text</t>
  </si>
  <si>
    <t>Cell references in Model sheet</t>
  </si>
  <si>
    <t>RUBS SHEET MAPPING</t>
  </si>
  <si>
    <t>Configuration</t>
  </si>
  <si>
    <t>Total Units (linked)</t>
  </si>
  <si>
    <t>RUBS!C7</t>
  </si>
  <si>
    <t>Config</t>
  </si>
  <si>
    <t>Links to Model!D7</t>
  </si>
  <si>
    <t>Total SF (linked)</t>
  </si>
  <si>
    <t>RUBS!C8</t>
  </si>
  <si>
    <t>Links to Model!D8</t>
  </si>
  <si>
    <t>RUBS!C11</t>
  </si>
  <si>
    <t>Flat fee per unit</t>
  </si>
  <si>
    <t>RUBS!C12</t>
  </si>
  <si>
    <t>Alternative % markup</t>
  </si>
  <si>
    <t>RUBS!C13</t>
  </si>
  <si>
    <t>$/unit' or '% markup'</t>
  </si>
  <si>
    <t>RUBS!C14</t>
  </si>
  <si>
    <t>Default 100%</t>
  </si>
  <si>
    <t>Utility Cost Inputs</t>
  </si>
  <si>
    <t>Water/Sewer (Monthly)</t>
  </si>
  <si>
    <t>RUBS!C18</t>
  </si>
  <si>
    <t>Utility Inputs</t>
  </si>
  <si>
    <t>Owner's monthly cost</t>
  </si>
  <si>
    <t>Electric Common (Monthly)</t>
  </si>
  <si>
    <t>RUBS!C19</t>
  </si>
  <si>
    <t>Gas (Monthly)</t>
  </si>
  <si>
    <t>RUBS!C20</t>
  </si>
  <si>
    <t>Trash (Monthly)</t>
  </si>
  <si>
    <t>RUBS!C21</t>
  </si>
  <si>
    <t>Other (Monthly)</t>
  </si>
  <si>
    <t>RUBS!C22</t>
  </si>
  <si>
    <t>Water/Sewer Method</t>
  </si>
  <si>
    <t>RUBS!E18</t>
  </si>
  <si>
    <t>SF, Units, or Occupancy</t>
  </si>
  <si>
    <t>Electric Method</t>
  </si>
  <si>
    <t>RUBS!E19</t>
  </si>
  <si>
    <t>Gas Method</t>
  </si>
  <si>
    <t>RUBS!E20</t>
  </si>
  <si>
    <t>Trash Method</t>
  </si>
  <si>
    <t>RUBS!E21</t>
  </si>
  <si>
    <t>Other Method</t>
  </si>
  <si>
    <t>RUBS!E22</t>
  </si>
  <si>
    <t>Unit Detail (Inputs)</t>
  </si>
  <si>
    <t>Occupants per Unit</t>
  </si>
  <si>
    <t>RUBS!E44:E54</t>
  </si>
  <si>
    <t>Unit Detail</t>
  </si>
  <si>
    <t>For occupancy-based allocation</t>
  </si>
  <si>
    <t>EQUITY PARTNER SHEET MAPPING</t>
  </si>
  <si>
    <t>Investment Summary (Linked from Model)</t>
  </si>
  <si>
    <t>Equity Partner!C6</t>
  </si>
  <si>
    <t>Investment</t>
  </si>
  <si>
    <t>Links to Model!D166</t>
  </si>
  <si>
    <t>Equity Partner!C7</t>
  </si>
  <si>
    <t>Links to Model!D167</t>
  </si>
  <si>
    <t>Equity Partner!C8</t>
  </si>
  <si>
    <t>Links to Model!D168</t>
  </si>
  <si>
    <t>Equity Partner!C10</t>
  </si>
  <si>
    <t>Links to Model!D169 (90%)</t>
  </si>
  <si>
    <t>Equity Partner!C11</t>
  </si>
  <si>
    <t>Links to Model!D170 (10%)</t>
  </si>
  <si>
    <t>Waterfall Structure (Linked from Model)</t>
  </si>
  <si>
    <t>Preferred Return</t>
  </si>
  <si>
    <t>Equity Partner!F6</t>
  </si>
  <si>
    <t>Waterfall</t>
  </si>
  <si>
    <t>Links to Model!D185</t>
  </si>
  <si>
    <t>LP Pre-Pref Split</t>
  </si>
  <si>
    <t>Equity Partner!F9</t>
  </si>
  <si>
    <t>Links to Model!D186</t>
  </si>
  <si>
    <t>GP Pre-Pref Split</t>
  </si>
  <si>
    <t>Equity Partner!F10</t>
  </si>
  <si>
    <t>Links to Model!D187</t>
  </si>
  <si>
    <t>LP Post-Pref Split</t>
  </si>
  <si>
    <t>Equity Partner!F13</t>
  </si>
  <si>
    <t>Links to Model!D188</t>
  </si>
  <si>
    <t>GP Promote</t>
  </si>
  <si>
    <t>Equity Partner!F14</t>
  </si>
  <si>
    <t>Links to Model!D189</t>
  </si>
  <si>
    <t>Exit Strategy (Input)</t>
  </si>
  <si>
    <t>Equity Partner!C16</t>
  </si>
  <si>
    <t>Links to Model!H26</t>
  </si>
  <si>
    <t>Forward NOI</t>
  </si>
  <si>
    <t>Equity Partner!C17</t>
  </si>
  <si>
    <t>Links to Model!F104</t>
  </si>
  <si>
    <t>Hold Period (Years)</t>
  </si>
  <si>
    <t>Equity Partner!C18</t>
  </si>
  <si>
    <t>User input - default 5</t>
  </si>
  <si>
    <t>Distribution Waterfall (Linked)</t>
  </si>
  <si>
    <t>Year 1-5 Distributable Cash</t>
  </si>
  <si>
    <t>Equity Partner!C23:G23</t>
  </si>
  <si>
    <t>Distributions</t>
  </si>
  <si>
    <t>Links to Model!D193:H193</t>
  </si>
  <si>
    <t>Year 1-5 LP Distributions</t>
  </si>
  <si>
    <t>Equity Partner!C26:G26</t>
  </si>
  <si>
    <t>Links to Model!D196:H196</t>
  </si>
  <si>
    <t>Year 1-5 GP Distributions</t>
  </si>
  <si>
    <t>Equity Partner!C27:G27</t>
  </si>
  <si>
    <t>Links to Model!D197:H197</t>
  </si>
  <si>
    <t>Return Metrics (Calculated)</t>
  </si>
  <si>
    <t>LP Multiple (MOIC)</t>
  </si>
  <si>
    <t>Equity Partner!C36</t>
  </si>
  <si>
    <t>Returns</t>
  </si>
  <si>
    <t>Total Distributions / Investment</t>
  </si>
  <si>
    <t>GP Multiple (MOIC)</t>
  </si>
  <si>
    <t>Equity Partner!D36</t>
  </si>
  <si>
    <t>LP Cash-on-Cash (Yr 1)</t>
  </si>
  <si>
    <t>Equity Partner!C37</t>
  </si>
  <si>
    <t>Year 1 Distribution / Investment</t>
  </si>
  <si>
    <t>Equity Partner!C39</t>
  </si>
  <si>
    <t>Links to Model!C225</t>
  </si>
  <si>
    <t>GP IRR (5-Yr)</t>
  </si>
  <si>
    <t>Equity Partner!D39</t>
  </si>
  <si>
    <t>Links to Model!D225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</si>
</sst>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%"/>
    <numFmt numFmtId="165" formatCode="0.00x"/>
    <numFmt numFmtId="166" formatCode="General"/>
    <numFmt numFmtId="167" formatCode="yyyy-mm-dd"/>
    <numFmt numFmtId="168" formatCode="$#,##0.00"/>
  </numFmts>
  <fonts count="34">
    <font>
      <sz val="10.0"/>
      <color rgb="FF000000"/>
      <name val="Arial"/>
      <scheme val="minor"/>
    </font>
    <font>
      <color theme="1"/>
      <name val="Arial"/>
      <scheme val="minor"/>
    </font>
    <font>
      <b/>
      <sz val="18.0"/>
      <color rgb="FF1F4E79"/>
      <name val="Arial"/>
      <scheme val="minor"/>
    </font>
    <font>
      <i/>
      <sz val="11.0"/>
      <color rgb="FF666666"/>
      <name val="Arial"/>
      <scheme val="minor"/>
    </font>
    <font>
      <b/>
      <sz val="11.0"/>
      <color rgb="FFFFFFFF"/>
      <name val="Arial"/>
      <scheme val="minor"/>
    </font>
    <font>
      <color rgb="FF0000FF"/>
      <name val="Arial"/>
      <scheme val="minor"/>
    </font>
    <font>
      <b/>
      <color theme="1"/>
      <name val="Arial"/>
      <scheme val="minor"/>
    </font>
    <font>
      <b/>
      <color rgb="FF0000FF"/>
      <name val="Arial"/>
      <scheme val="minor"/>
    </font>
    <font>
      <b/>
      <color rgb="FFFFFFFF"/>
      <name val="Arial"/>
      <scheme val="minor"/>
    </font>
    <font>
      <color rgb="FF1F4E79"/>
      <name val="Arial"/>
      <scheme val="minor"/>
    </font>
    <font>
      <b/>
      <sz val="12.0"/>
      <color rgb="FFFFFFFF"/>
      <name val="Arial"/>
      <scheme val="minor"/>
    </font>
    <font>
      <b/>
      <sz val="11.0"/>
      <color rgb="FF0000FF"/>
      <name val="Arial"/>
      <scheme val="minor"/>
    </font>
    <font>
      <b/>
      <sz val="10.0"/>
      <color rgb="FFFFFFFF"/>
      <name val="Arial"/>
      <scheme val="minor"/>
    </font>
    <font>
      <b/>
      <i/>
      <color theme="1"/>
      <name val="Arial"/>
      <scheme val="minor"/>
    </font>
    <font>
      <b/>
      <sz val="9.0"/>
      <color rgb="FFFFFFFF"/>
      <name val="Arial"/>
      <scheme val="minor"/>
    </font>
    <font>
      <b/>
      <sz val="18.0"/>
      <color rgb="FF1F4E79"/>
      <name val="Arial"/>
    </font>
    <font>
      <i/>
      <sz val="11.0"/>
      <color rgb="FF666666"/>
      <name val="Arial"/>
    </font>
    <font>
      <b/>
      <sz val="11.0"/>
      <color rgb="FFFFFFFF"/>
      <name val="Arial"/>
    </font>
    <font>
      <b/>
      <sz val="10.0"/>
      <color theme="1"/>
      <name val="Arial"/>
    </font>
    <font>
      <sz val="9.0"/>
      <color theme="1"/>
      <name val="Arial"/>
    </font>
    <font>
      <sz val="10.0"/>
      <color theme="1"/>
      <name val="Arial"/>
    </font>
    <font>
      <sz val="10.0"/>
      <color rgb="FF375623"/>
      <name val="Arial"/>
    </font>
    <font>
      <sz val="10.0"/>
      <color rgb="FF0000FF"/>
      <name val="Arial"/>
    </font>
    <font>
      <i/>
      <sz val="9.0"/>
      <color rgb="FF666666"/>
      <name val="Arial"/>
    </font>
    <font>
      <b/>
      <sz val="9.0"/>
      <color theme="1"/>
      <name val="Arial"/>
    </font>
    <font>
      <sz val="9.0"/>
      <color rgb="FF0000FF"/>
      <name val="Arial"/>
    </font>
    <font>
      <sz val="9.0"/>
      <color rgb="FF375623"/>
      <name val="Arial"/>
    </font>
    <font>
      <sz val="9.0"/>
      <color rgb="FF000000"/>
      <name val="Arial"/>
    </font>
    <font>
      <sz val="10.0"/>
      <color rgb="FF000000"/>
      <name val="Arial"/>
    </font>
    <font>
      <b/>
      <sz val="10.0"/>
      <color rgb="FF000000"/>
      <name val="Arial"/>
    </font>
    <font>
      <b/>
      <sz val="10.0"/>
      <color rgb="FF375623"/>
      <name val="Arial"/>
    </font>
    <font>
      <sz val="10.0"/>
      <color rgb="FF666666"/>
      <name val="Arial"/>
    </font>
    <font>
      <i/>
      <sz val="9.0"/>
      <color theme="1"/>
      <name val="Arial"/>
    </font>
    <font>
      <sz val="10.0"/>
      <color theme="1"/>
      <name val="Arial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375623"/>
        <bgColor rgb="FF375623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D6DCE4"/>
        <bgColor rgb="FFD6DCE4"/>
      </patternFill>
    </fill>
    <fill>
      <patternFill patternType="solid">
        <fgColor theme="0"/>
        <bgColor theme="0"/>
      </patternFill>
    </fill>
    <fill>
      <patternFill patternType="solid">
        <fgColor rgb="FFC00000"/>
        <bgColor rgb="FFC00000"/>
      </patternFill>
    </fill>
    <fill>
      <patternFill patternType="solid">
        <fgColor rgb="FFF8CBAD"/>
        <bgColor rgb="FFF8CBAD"/>
      </patternFill>
    </fill>
    <fill>
      <patternFill patternType="solid">
        <fgColor rgb="FFFCE4D6"/>
        <bgColor rgb="FFFCE4D6"/>
      </patternFill>
    </fill>
    <fill>
      <patternFill patternType="solid">
        <fgColor rgb="FFC6E0B4"/>
        <bgColor rgb="FFC6E0B4"/>
      </patternFill>
    </fill>
    <fill>
      <patternFill patternType="solid">
        <fgColor rgb="FF7030A0"/>
        <bgColor rgb="FF7030A0"/>
      </patternFill>
    </fill>
    <fill>
      <patternFill patternType="solid">
        <fgColor rgb="FFE2D5F1"/>
        <bgColor rgb="FFE2D5F1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E0E0E0"/>
        <bgColor rgb="FFE0E0E0"/>
      </patternFill>
    </fill>
  </fills>
  <borders count="1">
    <border/>
  </borders>
  <cellStyleXfs count="1">
    <xf borderId="0" fillId="0" fontId="0" numFmtId="0" applyAlignment="1" applyFont="1"/>
  </cellStyleXfs>
  <cellXfs count="1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2" fontId="4" numFmtId="0" xfId="0" applyAlignment="1" applyFill="1" applyFont="1">
      <alignment readingOrder="0"/>
    </xf>
    <xf borderId="0" fillId="2" fontId="4" numFmtId="0" xfId="0" applyFont="1"/>
    <xf borderId="0" fillId="3" fontId="4" numFmtId="0" xfId="0" applyAlignment="1" applyFill="1" applyFont="1">
      <alignment readingOrder="0"/>
    </xf>
    <xf borderId="0" fillId="3" fontId="4" numFmtId="0" xfId="0" applyFont="1"/>
    <xf borderId="0" fillId="4" fontId="4" numFmtId="0" xfId="0" applyFill="1" applyFont="1"/>
    <xf borderId="0" fillId="5" fontId="1" numFmtId="0" xfId="0" applyAlignment="1" applyFill="1" applyFont="1">
      <alignment readingOrder="0"/>
    </xf>
    <xf borderId="0" fillId="6" fontId="5" numFmtId="0" xfId="0" applyAlignment="1" applyFill="1" applyFont="1">
      <alignment readingOrder="0"/>
    </xf>
    <xf borderId="0" fillId="7" fontId="6" numFmtId="0" xfId="0" applyAlignment="1" applyFill="1" applyFont="1">
      <alignment readingOrder="0"/>
    </xf>
    <xf borderId="0" fillId="5" fontId="6" numFmtId="0" xfId="0" applyAlignment="1" applyFont="1">
      <alignment readingOrder="0"/>
    </xf>
    <xf borderId="0" fillId="6" fontId="7" numFmtId="42" xfId="0" applyAlignment="1" applyFont="1" applyNumberFormat="1">
      <alignment readingOrder="0"/>
    </xf>
    <xf borderId="0" fillId="6" fontId="5" numFmtId="3" xfId="0" applyAlignment="1" applyFont="1" applyNumberFormat="1">
      <alignment readingOrder="0"/>
    </xf>
    <xf borderId="0" fillId="0" fontId="1" numFmtId="42" xfId="0" applyFont="1" applyNumberFormat="1"/>
    <xf borderId="0" fillId="0" fontId="1" numFmtId="164" xfId="0" applyFont="1" applyNumberFormat="1"/>
    <xf borderId="0" fillId="6" fontId="5" numFmtId="10" xfId="0" applyFont="1" applyNumberFormat="1"/>
    <xf borderId="0" fillId="0" fontId="1" numFmtId="10" xfId="0" applyFont="1" applyNumberFormat="1"/>
    <xf borderId="0" fillId="0" fontId="1" numFmtId="3" xfId="0" applyAlignment="1" applyFont="1" applyNumberFormat="1">
      <alignment readingOrder="0"/>
    </xf>
    <xf borderId="0" fillId="6" fontId="5" numFmtId="42" xfId="0" applyAlignment="1" applyFont="1" applyNumberFormat="1">
      <alignment readingOrder="0"/>
    </xf>
    <xf borderId="0" fillId="0" fontId="1" numFmtId="165" xfId="0" applyFont="1" applyNumberFormat="1"/>
    <xf borderId="0" fillId="7" fontId="6" numFmtId="42" xfId="0" applyFont="1" applyNumberFormat="1"/>
    <xf borderId="0" fillId="7" fontId="6" numFmtId="164" xfId="0" applyFont="1" applyNumberFormat="1"/>
    <xf borderId="0" fillId="0" fontId="1" numFmtId="166" xfId="0" applyAlignment="1" applyFont="1" applyNumberFormat="1">
      <alignment horizontal="left" shrinkToFit="0" vertical="bottom" wrapText="0"/>
    </xf>
    <xf borderId="0" fillId="3" fontId="8" numFmtId="0" xfId="0" applyAlignment="1" applyFont="1">
      <alignment readingOrder="0"/>
    </xf>
    <xf borderId="0" fillId="3" fontId="8" numFmtId="0" xfId="0" applyFont="1"/>
    <xf borderId="0" fillId="0" fontId="9" numFmtId="0" xfId="0" applyAlignment="1" applyFont="1">
      <alignment readingOrder="0"/>
    </xf>
    <xf borderId="0" fillId="6" fontId="5" numFmtId="42" xfId="0" applyFont="1" applyNumberFormat="1"/>
    <xf borderId="0" fillId="8" fontId="1" numFmtId="0" xfId="0" applyFill="1" applyFont="1"/>
    <xf borderId="0" fillId="2" fontId="10" numFmtId="0" xfId="0" applyAlignment="1" applyFont="1">
      <alignment readingOrder="0"/>
    </xf>
    <xf borderId="0" fillId="2" fontId="10" numFmtId="0" xfId="0" applyFont="1"/>
    <xf borderId="0" fillId="8" fontId="4" numFmtId="0" xfId="0" applyAlignment="1" applyFont="1">
      <alignment readingOrder="0"/>
    </xf>
    <xf borderId="0" fillId="5" fontId="4" numFmtId="0" xfId="0" applyAlignment="1" applyFont="1">
      <alignment readingOrder="0"/>
    </xf>
    <xf borderId="0" fillId="6" fontId="11" numFmtId="0" xfId="0" applyFont="1"/>
    <xf borderId="0" fillId="8" fontId="4" numFmtId="0" xfId="0" applyFont="1"/>
    <xf borderId="0" fillId="8" fontId="6" numFmtId="0" xfId="0" applyAlignment="1" applyFont="1">
      <alignment readingOrder="0"/>
    </xf>
    <xf borderId="0" fillId="6" fontId="7" numFmtId="0" xfId="0" applyAlignment="1" applyFont="1">
      <alignment readingOrder="0"/>
    </xf>
    <xf borderId="0" fillId="0" fontId="1" numFmtId="42" xfId="0" applyAlignment="1" applyFont="1" applyNumberFormat="1">
      <alignment readingOrder="0"/>
    </xf>
    <xf borderId="0" fillId="8" fontId="1" numFmtId="167" xfId="0" applyFont="1" applyNumberFormat="1"/>
    <xf borderId="0" fillId="8" fontId="1" numFmtId="0" xfId="0" applyFont="1"/>
    <xf borderId="0" fillId="8" fontId="1" numFmtId="0" xfId="0" applyAlignment="1" applyFont="1">
      <alignment readingOrder="0"/>
    </xf>
    <xf borderId="0" fillId="8" fontId="1" numFmtId="42" xfId="0" applyFont="1" applyNumberFormat="1"/>
    <xf borderId="0" fillId="0" fontId="1" numFmtId="0" xfId="0" applyFont="1"/>
    <xf borderId="0" fillId="0" fontId="1" numFmtId="3" xfId="0" applyFont="1" applyNumberFormat="1"/>
    <xf borderId="0" fillId="3" fontId="8" numFmtId="3" xfId="0" applyFont="1" applyNumberFormat="1"/>
    <xf borderId="0" fillId="8" fontId="6" numFmtId="42" xfId="0" applyFont="1" applyNumberFormat="1"/>
    <xf borderId="0" fillId="6" fontId="11" numFmtId="10" xfId="0" applyFont="1" applyNumberFormat="1"/>
    <xf borderId="0" fillId="6" fontId="5" numFmtId="164" xfId="0" applyFont="1" applyNumberFormat="1"/>
    <xf borderId="0" fillId="8" fontId="1" numFmtId="167" xfId="0" applyFont="1" applyNumberFormat="1"/>
    <xf borderId="0" fillId="7" fontId="6" numFmtId="0" xfId="0" applyFont="1"/>
    <xf borderId="0" fillId="7" fontId="6" numFmtId="3" xfId="0" applyFont="1" applyNumberFormat="1"/>
    <xf borderId="0" fillId="8" fontId="6" numFmtId="0" xfId="0" applyFont="1"/>
    <xf borderId="0" fillId="4" fontId="8" numFmtId="0" xfId="0" applyAlignment="1" applyFont="1">
      <alignment readingOrder="0"/>
    </xf>
    <xf borderId="0" fillId="4" fontId="8" numFmtId="0" xfId="0" applyFont="1"/>
    <xf borderId="0" fillId="5" fontId="10" numFmtId="0" xfId="0" applyAlignment="1" applyFont="1">
      <alignment readingOrder="0"/>
    </xf>
    <xf borderId="0" fillId="2" fontId="10" numFmtId="42" xfId="0" applyFont="1" applyNumberFormat="1"/>
    <xf borderId="0" fillId="5" fontId="1" numFmtId="42" xfId="0" applyAlignment="1" applyFont="1" applyNumberFormat="1">
      <alignment readingOrder="0"/>
    </xf>
    <xf borderId="0" fillId="2" fontId="4" numFmtId="42" xfId="0" applyFont="1" applyNumberFormat="1"/>
    <xf borderId="0" fillId="9" fontId="10" numFmtId="0" xfId="0" applyAlignment="1" applyFill="1" applyFont="1">
      <alignment readingOrder="0"/>
    </xf>
    <xf borderId="0" fillId="9" fontId="10" numFmtId="0" xfId="0" applyFont="1"/>
    <xf borderId="0" fillId="10" fontId="6" numFmtId="0" xfId="0" applyAlignment="1" applyFill="1" applyFont="1">
      <alignment readingOrder="0"/>
    </xf>
    <xf borderId="0" fillId="11" fontId="1" numFmtId="0" xfId="0" applyAlignment="1" applyFill="1" applyFont="1">
      <alignment readingOrder="0"/>
    </xf>
    <xf borderId="0" fillId="10" fontId="6" numFmtId="0" xfId="0" applyFont="1"/>
    <xf borderId="0" fillId="10" fontId="6" numFmtId="42" xfId="0" applyFont="1" applyNumberFormat="1"/>
    <xf borderId="0" fillId="4" fontId="4" numFmtId="0" xfId="0" applyAlignment="1" applyFont="1">
      <alignment readingOrder="0"/>
    </xf>
    <xf borderId="0" fillId="4" fontId="4" numFmtId="42" xfId="0" applyFont="1" applyNumberFormat="1"/>
    <xf borderId="0" fillId="12" fontId="6" numFmtId="0" xfId="0" applyAlignment="1" applyFill="1" applyFont="1">
      <alignment readingOrder="0"/>
    </xf>
    <xf borderId="0" fillId="13" fontId="4" numFmtId="0" xfId="0" applyAlignment="1" applyFill="1" applyFont="1">
      <alignment readingOrder="0"/>
    </xf>
    <xf borderId="0" fillId="13" fontId="4" numFmtId="0" xfId="0" applyFont="1"/>
    <xf borderId="0" fillId="14" fontId="6" numFmtId="0" xfId="0" applyAlignment="1" applyFill="1" applyFont="1">
      <alignment readingOrder="0"/>
    </xf>
    <xf borderId="0" fillId="0" fontId="6" numFmtId="42" xfId="0" applyFont="1" applyNumberFormat="1"/>
    <xf borderId="0" fillId="13" fontId="12" numFmtId="0" xfId="0" applyAlignment="1" applyFont="1">
      <alignment readingOrder="0"/>
    </xf>
    <xf borderId="0" fillId="13" fontId="12" numFmtId="0" xfId="0" applyFont="1"/>
    <xf borderId="0" fillId="14" fontId="13" numFmtId="0" xfId="0" applyAlignment="1" applyFont="1">
      <alignment readingOrder="0"/>
    </xf>
    <xf borderId="0" fillId="14" fontId="13" numFmtId="0" xfId="0" applyFont="1"/>
    <xf borderId="0" fillId="13" fontId="14" numFmtId="0" xfId="0" applyAlignment="1" applyFont="1">
      <alignment readingOrder="0"/>
    </xf>
    <xf borderId="0" fillId="13" fontId="14" numFmtId="0" xfId="0" applyFont="1"/>
    <xf borderId="0" fillId="9" fontId="12" numFmtId="0" xfId="0" applyFont="1"/>
    <xf borderId="0" fillId="10" fontId="13" numFmtId="0" xfId="0" applyFont="1"/>
    <xf borderId="0" fillId="7" fontId="6" numFmtId="164" xfId="0" applyAlignment="1" applyFont="1" applyNumberFormat="1">
      <alignment readingOrder="0"/>
    </xf>
    <xf borderId="0" fillId="11" fontId="1" numFmtId="164" xfId="0" applyFont="1" applyNumberFormat="1"/>
    <xf borderId="0" fillId="13" fontId="14" numFmtId="42" xfId="0" applyFont="1" applyNumberFormat="1"/>
    <xf borderId="0" fillId="7" fontId="6" numFmtId="0" xfId="0" applyFont="1"/>
    <xf borderId="0" fillId="7" fontId="6" numFmtId="42" xfId="0" applyAlignment="1" applyFont="1" applyNumberFormat="1">
      <alignment readingOrder="0"/>
    </xf>
    <xf borderId="0" fillId="13" fontId="14" numFmtId="0" xfId="0" applyFont="1"/>
    <xf borderId="0" fillId="13" fontId="14" numFmtId="165" xfId="0" applyFont="1" applyNumberFormat="1"/>
    <xf borderId="0" fillId="0" fontId="6" numFmtId="165" xfId="0" applyFont="1" applyNumberFormat="1"/>
    <xf borderId="0" fillId="0" fontId="15" numFmtId="0" xfId="0" applyAlignment="1" applyFont="1">
      <alignment horizontal="left" readingOrder="0"/>
    </xf>
    <xf borderId="0" fillId="0" fontId="15" numFmtId="0" xfId="0" applyAlignment="1" applyFont="1">
      <alignment horizontal="left"/>
    </xf>
    <xf borderId="0" fillId="0" fontId="16" numFmtId="0" xfId="0" applyAlignment="1" applyFont="1">
      <alignment readingOrder="0"/>
    </xf>
    <xf borderId="0" fillId="0" fontId="16" numFmtId="0" xfId="0" applyFont="1"/>
    <xf borderId="0" fillId="2" fontId="17" numFmtId="0" xfId="0" applyAlignment="1" applyFont="1">
      <alignment readingOrder="0"/>
    </xf>
    <xf borderId="0" fillId="2" fontId="17" numFmtId="0" xfId="0" applyFont="1"/>
    <xf borderId="0" fillId="3" fontId="17" numFmtId="0" xfId="0" applyAlignment="1" applyFont="1">
      <alignment readingOrder="0"/>
    </xf>
    <xf borderId="0" fillId="3" fontId="17" numFmtId="0" xfId="0" applyFont="1"/>
    <xf borderId="0" fillId="7" fontId="18" numFmtId="0" xfId="0" applyAlignment="1" applyFont="1">
      <alignment readingOrder="0"/>
    </xf>
    <xf borderId="0" fillId="7" fontId="18" numFmtId="0" xfId="0" applyFont="1"/>
    <xf borderId="0" fillId="5" fontId="19" numFmtId="0" xfId="0" applyAlignment="1" applyFont="1">
      <alignment readingOrder="0"/>
    </xf>
    <xf borderId="0" fillId="5" fontId="19" numFmtId="0" xfId="0" applyFont="1"/>
    <xf borderId="0" fillId="5" fontId="20" numFmtId="0" xfId="0" applyAlignment="1" applyFont="1">
      <alignment readingOrder="0"/>
    </xf>
    <xf borderId="0" fillId="6" fontId="21" numFmtId="3" xfId="0" applyFont="1" applyNumberFormat="1"/>
    <xf borderId="0" fillId="6" fontId="22" numFmtId="168" xfId="0" applyAlignment="1" applyFont="1" applyNumberFormat="1">
      <alignment readingOrder="0"/>
    </xf>
    <xf borderId="0" fillId="0" fontId="23" numFmtId="0" xfId="0" applyFont="1"/>
    <xf borderId="0" fillId="6" fontId="22" numFmtId="164" xfId="0" applyAlignment="1" applyFont="1" applyNumberFormat="1">
      <alignment readingOrder="0"/>
    </xf>
    <xf borderId="0" fillId="0" fontId="24" numFmtId="0" xfId="0" applyAlignment="1" applyFont="1">
      <alignment readingOrder="0"/>
    </xf>
    <xf borderId="0" fillId="6" fontId="22" numFmtId="0" xfId="0" applyAlignment="1" applyFont="1">
      <alignment readingOrder="0"/>
    </xf>
    <xf borderId="0" fillId="0" fontId="23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27" numFmtId="0" xfId="0" applyAlignment="1" applyFont="1">
      <alignment readingOrder="0"/>
    </xf>
    <xf borderId="0" fillId="7" fontId="18" numFmtId="0" xfId="0" applyAlignment="1" applyFont="1">
      <alignment horizontal="center" readingOrder="0"/>
    </xf>
    <xf borderId="0" fillId="5" fontId="28" numFmtId="168" xfId="0" applyAlignment="1" applyFont="1" applyNumberFormat="1">
      <alignment readingOrder="0"/>
    </xf>
    <xf borderId="0" fillId="6" fontId="28" numFmtId="168" xfId="0" applyAlignment="1" applyFont="1" applyNumberFormat="1">
      <alignment horizontal="center" readingOrder="0"/>
    </xf>
    <xf borderId="0" fillId="6" fontId="22" numFmtId="0" xfId="0" applyAlignment="1" applyFont="1">
      <alignment horizontal="center" readingOrder="0"/>
    </xf>
    <xf borderId="0" fillId="7" fontId="18" numFmtId="168" xfId="0" applyAlignment="1" applyFont="1" applyNumberFormat="1">
      <alignment readingOrder="0"/>
    </xf>
    <xf borderId="0" fillId="7" fontId="18" numFmtId="168" xfId="0" applyFont="1" applyNumberFormat="1"/>
    <xf borderId="0" fillId="4" fontId="17" numFmtId="0" xfId="0" applyAlignment="1" applyFont="1">
      <alignment readingOrder="0"/>
    </xf>
    <xf borderId="0" fillId="4" fontId="17" numFmtId="0" xfId="0" applyFont="1"/>
    <xf borderId="0" fillId="0" fontId="28" numFmtId="168" xfId="0" applyFont="1" applyNumberFormat="1"/>
    <xf borderId="0" fillId="0" fontId="28" numFmtId="164" xfId="0" applyFont="1" applyNumberFormat="1"/>
    <xf borderId="0" fillId="5" fontId="20" numFmtId="0" xfId="0" applyFont="1"/>
    <xf borderId="0" fillId="0" fontId="21" numFmtId="0" xfId="0" applyFont="1"/>
    <xf borderId="0" fillId="0" fontId="21" numFmtId="3" xfId="0" applyFont="1" applyNumberFormat="1"/>
    <xf borderId="0" fillId="6" fontId="22" numFmtId="0" xfId="0" applyAlignment="1" applyFont="1">
      <alignment horizontal="center" readingOrder="0"/>
    </xf>
    <xf borderId="0" fillId="7" fontId="18" numFmtId="3" xfId="0" applyFont="1" applyNumberFormat="1"/>
    <xf borderId="0" fillId="15" fontId="18" numFmtId="0" xfId="0" applyAlignment="1" applyFill="1" applyFont="1">
      <alignment readingOrder="0"/>
    </xf>
    <xf borderId="0" fillId="15" fontId="18" numFmtId="0" xfId="0" applyFont="1"/>
    <xf borderId="0" fillId="15" fontId="18" numFmtId="0" xfId="0" applyAlignment="1" applyFont="1">
      <alignment horizontal="center"/>
    </xf>
    <xf borderId="0" fillId="13" fontId="17" numFmtId="0" xfId="0" applyAlignment="1" applyFont="1">
      <alignment readingOrder="0"/>
    </xf>
    <xf borderId="0" fillId="13" fontId="17" numFmtId="0" xfId="0" applyFont="1"/>
    <xf borderId="0" fillId="0" fontId="21" numFmtId="42" xfId="0" applyFont="1" applyNumberFormat="1"/>
    <xf borderId="0" fillId="0" fontId="21" numFmtId="164" xfId="0" applyFont="1" applyNumberFormat="1"/>
    <xf borderId="0" fillId="14" fontId="18" numFmtId="0" xfId="0" applyAlignment="1" applyFont="1">
      <alignment readingOrder="0"/>
    </xf>
    <xf borderId="0" fillId="0" fontId="21" numFmtId="10" xfId="0" applyFont="1" applyNumberFormat="1"/>
    <xf borderId="0" fillId="0" fontId="28" numFmtId="42" xfId="0" applyFont="1" applyNumberFormat="1"/>
    <xf borderId="0" fillId="6" fontId="22" numFmtId="1" xfId="0" applyAlignment="1" applyFont="1" applyNumberFormat="1">
      <alignment readingOrder="0"/>
    </xf>
    <xf borderId="0" fillId="14" fontId="29" numFmtId="42" xfId="0" applyFont="1" applyNumberFormat="1"/>
    <xf borderId="0" fillId="7" fontId="18" numFmtId="0" xfId="0" applyAlignment="1" applyFont="1">
      <alignment horizontal="center"/>
    </xf>
    <xf borderId="0" fillId="5" fontId="18" numFmtId="0" xfId="0" applyAlignment="1" applyFont="1">
      <alignment readingOrder="0"/>
    </xf>
    <xf borderId="0" fillId="5" fontId="30" numFmtId="42" xfId="0" applyFont="1" applyNumberFormat="1"/>
    <xf borderId="0" fillId="0" fontId="31" numFmtId="42" xfId="0" applyFont="1" applyNumberFormat="1"/>
    <xf borderId="0" fillId="6" fontId="28" numFmtId="42" xfId="0" applyFont="1" applyNumberFormat="1"/>
    <xf borderId="0" fillId="11" fontId="28" numFmtId="42" xfId="0" applyFont="1" applyNumberFormat="1"/>
    <xf borderId="0" fillId="15" fontId="32" numFmtId="0" xfId="0" applyAlignment="1" applyFont="1">
      <alignment readingOrder="0"/>
    </xf>
    <xf borderId="0" fillId="15" fontId="32" numFmtId="42" xfId="0" applyFont="1" applyNumberFormat="1"/>
    <xf borderId="0" fillId="6" fontId="29" numFmtId="42" xfId="0" applyFont="1" applyNumberFormat="1"/>
    <xf borderId="0" fillId="0" fontId="28" numFmtId="165" xfId="0" applyFont="1" applyNumberFormat="1"/>
    <xf borderId="0" fillId="14" fontId="30" numFmtId="164" xfId="0" applyFont="1" applyNumberFormat="1"/>
    <xf borderId="0" fillId="6" fontId="18" numFmtId="0" xfId="0" applyAlignment="1" applyFont="1">
      <alignment readingOrder="0"/>
    </xf>
    <xf borderId="0" fillId="0" fontId="33" numFmtId="0" xfId="0" applyAlignment="1" applyFont="1">
      <alignment readingOrder="0"/>
    </xf>
    <xf borderId="0" fillId="4" fontId="12" numFmtId="0" xfId="0" applyAlignment="1" applyFont="1">
      <alignment readingOrder="0"/>
    </xf>
    <xf borderId="0" fillId="4" fontId="12" numFmtId="0" xfId="0" applyFont="1"/>
    <xf borderId="0" fillId="16" fontId="1" numFmtId="0" xfId="0" applyFill="1" applyFont="1"/>
    <xf borderId="0" fillId="0" fontId="5" numFmtId="0" xfId="0" applyAlignment="1" applyFont="1">
      <alignment readingOrder="0"/>
    </xf>
    <xf borderId="0" fillId="17" fontId="1" numFmtId="0" xfId="0" applyFill="1" applyFont="1"/>
    <xf borderId="0" fillId="9" fontId="12" numFmtId="0" xfId="0" applyAlignment="1" applyFont="1">
      <alignment readingOrder="0"/>
    </xf>
    <xf borderId="0" fillId="3" fontId="12" numFmtId="0" xfId="0" applyAlignment="1" applyFont="1">
      <alignment readingOrder="0"/>
    </xf>
    <xf borderId="0" fillId="3" fontId="12" numFmtId="0" xfId="0" applyFont="1"/>
    <xf borderId="0" fillId="14" fontId="1" numFmtId="0" xfId="0" applyAlignment="1" applyFont="1">
      <alignment readingOrder="0"/>
    </xf>
    <xf borderId="0" fillId="6" fontId="5" numFmtId="0" xfId="0" applyFont="1"/>
    <xf borderId="0" fillId="2" fontId="12" numFmtId="0" xfId="0" applyAlignment="1" applyFont="1">
      <alignment readingOrder="0"/>
    </xf>
    <xf borderId="0" fillId="2" fontId="12" numFmtId="0" xfId="0" applyFont="1"/>
    <xf borderId="0" fillId="16" fontId="1" numFmtId="0" xfId="0" applyAlignment="1" applyFont="1">
      <alignment readingOrder="0"/>
    </xf>
    <xf borderId="0" fillId="17" fontId="1" numFmtId="0" xfId="0" applyAlignment="1" applyFont="1">
      <alignment readingOrder="0"/>
    </xf>
    <xf borderId="0" fillId="6" fontId="1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2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0" numFmtId="0" xfId="0" applyFont="1"/>
    <xf borderId="0" fillId="0" fontId="22" numFmtId="0" xfId="0" applyFont="1"/>
    <xf borderId="0" fillId="14" fontId="1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0"/>
    <col customWidth="1" min="2" max="2" width="25.13"/>
    <col customWidth="1" min="3" max="3" width="10.75"/>
    <col customWidth="1" min="4" max="4" width="12.63"/>
    <col customWidth="1" min="5" max="14" width="11.38"/>
    <col customWidth="1" min="15" max="17" width="10.75"/>
  </cols>
  <sheetData>
    <row r="1">
      <c r="A1" s="1" t="s">
        <v>0</v>
      </c>
    </row>
    <row r="2">
      <c r="B2" s="2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>
      <c r="B3" s="4" t="s">
        <v>2</v>
      </c>
    </row>
    <row r="5">
      <c r="B5" s="5" t="s">
        <v>3</v>
      </c>
      <c r="C5" s="6"/>
      <c r="D5" s="6"/>
      <c r="F5" s="7" t="s">
        <v>4</v>
      </c>
      <c r="G5" s="8"/>
      <c r="H5" s="8"/>
      <c r="J5" s="7" t="s">
        <v>5</v>
      </c>
      <c r="K5" s="8"/>
      <c r="L5" s="8"/>
      <c r="N5" s="7" t="s">
        <v>6</v>
      </c>
      <c r="O5" s="8"/>
      <c r="P5" s="9"/>
      <c r="Q5" s="9"/>
    </row>
    <row r="6">
      <c r="B6" s="10" t="s">
        <v>7</v>
      </c>
      <c r="D6" s="11" t="s">
        <v>8</v>
      </c>
      <c r="F6" s="12" t="s">
        <v>9</v>
      </c>
      <c r="G6" s="12" t="s">
        <v>10</v>
      </c>
      <c r="H6" s="12" t="s">
        <v>11</v>
      </c>
      <c r="J6" s="12" t="s">
        <v>12</v>
      </c>
      <c r="K6" s="12" t="s">
        <v>10</v>
      </c>
      <c r="L6" s="12" t="s">
        <v>11</v>
      </c>
      <c r="N6" s="13" t="s">
        <v>13</v>
      </c>
      <c r="O6" s="14"/>
      <c r="P6" s="12"/>
    </row>
    <row r="7">
      <c r="B7" s="10" t="s">
        <v>14</v>
      </c>
      <c r="D7" s="15" t="s">
        <v>15</v>
      </c>
      <c r="F7" s="10" t="s">
        <v>16</v>
      </c>
      <c r="G7" s="16" t="str">
        <f t="shared" ref="G7:G9" si="1">#REF!</f>
        <v>#REF!</v>
      </c>
      <c r="H7" s="17" t="str">
        <f t="shared" ref="H7:H12" si="2">IF($G$12=0,0,G7/$G$12)</f>
        <v>#REF!</v>
      </c>
      <c r="J7" s="10" t="s">
        <v>17</v>
      </c>
      <c r="K7" s="16">
        <f>D9</f>
        <v>1000000</v>
      </c>
      <c r="L7" s="17" t="str">
        <f t="shared" ref="L7:L12" si="3">IF($K$12=0,0,K7/$K$12)</f>
        <v>#REF!</v>
      </c>
      <c r="N7" s="10" t="s">
        <v>18</v>
      </c>
      <c r="O7" s="18"/>
      <c r="P7" s="19"/>
    </row>
    <row r="8">
      <c r="B8" s="10" t="s">
        <v>19</v>
      </c>
      <c r="D8" s="20">
        <v>7948.0</v>
      </c>
      <c r="F8" s="10" t="s">
        <v>20</v>
      </c>
      <c r="G8" s="16" t="str">
        <f t="shared" si="1"/>
        <v>#REF!</v>
      </c>
      <c r="H8" s="17" t="str">
        <f t="shared" si="2"/>
        <v>#REF!</v>
      </c>
      <c r="J8" s="10" t="s">
        <v>21</v>
      </c>
      <c r="K8" s="16" t="str">
        <f t="shared" ref="K8:K11" si="4">#REF!</f>
        <v>#REF!</v>
      </c>
      <c r="L8" s="17" t="str">
        <f t="shared" si="3"/>
        <v>#REF!</v>
      </c>
      <c r="N8" s="10" t="s">
        <v>22</v>
      </c>
      <c r="O8" s="18"/>
      <c r="P8" s="19"/>
    </row>
    <row r="9">
      <c r="B9" s="10" t="s">
        <v>17</v>
      </c>
      <c r="D9" s="21">
        <v>1000000.0</v>
      </c>
      <c r="F9" s="10" t="s">
        <v>23</v>
      </c>
      <c r="G9" s="16" t="str">
        <f t="shared" si="1"/>
        <v>#REF!</v>
      </c>
      <c r="H9" s="17" t="str">
        <f t="shared" si="2"/>
        <v>#REF!</v>
      </c>
      <c r="J9" s="10" t="s">
        <v>24</v>
      </c>
      <c r="K9" s="16" t="str">
        <f t="shared" si="4"/>
        <v>#REF!</v>
      </c>
      <c r="L9" s="17" t="str">
        <f t="shared" si="3"/>
        <v>#REF!</v>
      </c>
      <c r="N9" s="10" t="s">
        <v>25</v>
      </c>
      <c r="O9" s="18"/>
      <c r="P9" s="19"/>
    </row>
    <row r="10">
      <c r="B10" s="10" t="s">
        <v>26</v>
      </c>
      <c r="D10" s="16">
        <f>D9/D8</f>
        <v>125.8178158</v>
      </c>
      <c r="F10" s="10" t="s">
        <v>27</v>
      </c>
      <c r="G10" s="16" t="str">
        <f t="shared" ref="G10:G11" si="5">D104</f>
        <v>#REF!</v>
      </c>
      <c r="H10" s="17" t="str">
        <f t="shared" si="2"/>
        <v>#REF!</v>
      </c>
      <c r="J10" s="10" t="s">
        <v>28</v>
      </c>
      <c r="K10" s="16" t="str">
        <f t="shared" si="4"/>
        <v>#REF!</v>
      </c>
      <c r="L10" s="17" t="str">
        <f t="shared" si="3"/>
        <v>#REF!</v>
      </c>
      <c r="N10" s="10" t="s">
        <v>29</v>
      </c>
      <c r="O10" s="16">
        <f>IF(O6=0,0,PMT(O7/12,O9,-O6))</f>
        <v>0</v>
      </c>
      <c r="P10" s="22"/>
    </row>
    <row r="11">
      <c r="B11" s="10" t="s">
        <v>30</v>
      </c>
      <c r="D11" s="16" t="str">
        <f>E73</f>
        <v>#REF!</v>
      </c>
      <c r="F11" s="10" t="s">
        <v>31</v>
      </c>
      <c r="G11" s="16" t="str">
        <f t="shared" si="5"/>
        <v>#REF!</v>
      </c>
      <c r="H11" s="17" t="str">
        <f t="shared" si="2"/>
        <v>#REF!</v>
      </c>
      <c r="J11" s="10" t="s">
        <v>32</v>
      </c>
      <c r="K11" s="16" t="str">
        <f t="shared" si="4"/>
        <v>#REF!</v>
      </c>
      <c r="L11" s="17" t="str">
        <f t="shared" si="3"/>
        <v>#REF!</v>
      </c>
      <c r="N11" s="10" t="s">
        <v>33</v>
      </c>
      <c r="O11" s="16">
        <f>O10*12</f>
        <v>0</v>
      </c>
      <c r="P11" s="22"/>
    </row>
    <row r="12">
      <c r="B12" s="10" t="s">
        <v>34</v>
      </c>
      <c r="D12" s="19" t="str">
        <f>IF(D9=0,0,D11/D9)</f>
        <v>#REF!</v>
      </c>
      <c r="F12" s="12" t="s">
        <v>35</v>
      </c>
      <c r="G12" s="23" t="str">
        <f>SUM(G7:G11)</f>
        <v>#REF!</v>
      </c>
      <c r="H12" s="24" t="str">
        <f t="shared" si="2"/>
        <v>#REF!</v>
      </c>
      <c r="J12" s="12" t="s">
        <v>36</v>
      </c>
      <c r="K12" s="23" t="str">
        <f>SUM(K7:K11)</f>
        <v>#REF!</v>
      </c>
      <c r="L12" s="24" t="str">
        <f t="shared" si="3"/>
        <v>#REF!</v>
      </c>
      <c r="N12" s="25"/>
      <c r="O12" s="25"/>
      <c r="P12" s="19"/>
    </row>
    <row r="13">
      <c r="B13" s="10" t="s">
        <v>37</v>
      </c>
      <c r="D13" s="1" t="s">
        <v>38</v>
      </c>
      <c r="N13" s="26" t="s">
        <v>39</v>
      </c>
      <c r="O13" s="27"/>
    </row>
    <row r="14">
      <c r="B14" s="28" t="s">
        <v>40</v>
      </c>
      <c r="N14" s="10" t="s">
        <v>13</v>
      </c>
      <c r="O14" s="29"/>
    </row>
    <row r="15">
      <c r="M15" s="30"/>
      <c r="N15" s="10" t="s">
        <v>18</v>
      </c>
      <c r="O15" s="18"/>
      <c r="P15" s="30"/>
    </row>
    <row r="16">
      <c r="B16" s="31" t="s">
        <v>41</v>
      </c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3"/>
      <c r="N16" s="34" t="s">
        <v>22</v>
      </c>
      <c r="O16" s="35"/>
      <c r="P16" s="36"/>
    </row>
    <row r="17">
      <c r="B17" s="12" t="s">
        <v>42</v>
      </c>
      <c r="C17" s="12" t="s">
        <v>43</v>
      </c>
      <c r="D17" s="12" t="s">
        <v>44</v>
      </c>
      <c r="E17" s="12" t="s">
        <v>45</v>
      </c>
      <c r="F17" s="12" t="s">
        <v>46</v>
      </c>
      <c r="G17" s="12" t="s">
        <v>47</v>
      </c>
      <c r="H17" s="12" t="s">
        <v>48</v>
      </c>
      <c r="I17" s="37"/>
      <c r="J17" s="37"/>
      <c r="K17" s="37"/>
      <c r="M17" s="37"/>
      <c r="N17" s="13" t="s">
        <v>49</v>
      </c>
      <c r="O17" s="38"/>
      <c r="P17" s="37"/>
    </row>
    <row r="18">
      <c r="B18" s="1">
        <v>8.0</v>
      </c>
      <c r="C18" s="1" t="s">
        <v>50</v>
      </c>
      <c r="D18" s="20">
        <v>300.0</v>
      </c>
      <c r="E18" s="1" t="s">
        <v>51</v>
      </c>
      <c r="F18" s="39">
        <v>825.0</v>
      </c>
      <c r="G18" s="39">
        <v>822.0</v>
      </c>
      <c r="H18" s="16">
        <f t="shared" ref="H18:H28" si="6">F18-G18</f>
        <v>3</v>
      </c>
      <c r="I18" s="40"/>
      <c r="J18" s="40"/>
      <c r="K18" s="41"/>
      <c r="M18" s="42"/>
      <c r="N18" s="10" t="s">
        <v>52</v>
      </c>
      <c r="O18" s="43">
        <f>IF(O17=1,O14*O15/12,IF(O14=0,0,PMT(O15/12,O16,-O14)))</f>
        <v>0</v>
      </c>
      <c r="P18" s="43"/>
    </row>
    <row r="19">
      <c r="B19" s="1">
        <v>8.0</v>
      </c>
      <c r="C19" s="1" t="s">
        <v>53</v>
      </c>
      <c r="D19" s="20">
        <v>481.0</v>
      </c>
      <c r="E19" s="44"/>
      <c r="F19" s="39">
        <v>950.0</v>
      </c>
      <c r="G19" s="39">
        <v>800.0</v>
      </c>
      <c r="H19" s="16">
        <f t="shared" si="6"/>
        <v>150</v>
      </c>
      <c r="I19" s="40"/>
      <c r="J19" s="40"/>
      <c r="K19" s="41"/>
      <c r="M19" s="42"/>
      <c r="N19" s="10" t="s">
        <v>33</v>
      </c>
      <c r="O19" s="43">
        <f>O18*12</f>
        <v>0</v>
      </c>
      <c r="P19" s="43"/>
    </row>
    <row r="20">
      <c r="B20" s="1">
        <v>2.0</v>
      </c>
      <c r="C20" s="1" t="s">
        <v>54</v>
      </c>
      <c r="D20" s="20">
        <v>853.0</v>
      </c>
      <c r="E20" s="44"/>
      <c r="F20" s="39">
        <v>1100.0</v>
      </c>
      <c r="G20" s="39">
        <v>1025.0</v>
      </c>
      <c r="H20" s="16">
        <f t="shared" si="6"/>
        <v>75</v>
      </c>
      <c r="I20" s="40"/>
      <c r="J20" s="40"/>
      <c r="K20" s="41"/>
      <c r="M20" s="42"/>
      <c r="N20" s="25"/>
      <c r="O20" s="25"/>
      <c r="P20" s="43"/>
    </row>
    <row r="21">
      <c r="B21" s="44"/>
      <c r="C21" s="44"/>
      <c r="D21" s="45"/>
      <c r="E21" s="44"/>
      <c r="F21" s="16"/>
      <c r="G21" s="16"/>
      <c r="H21" s="16">
        <f t="shared" si="6"/>
        <v>0</v>
      </c>
      <c r="I21" s="40"/>
      <c r="J21" s="40"/>
      <c r="K21" s="41"/>
      <c r="M21" s="37"/>
      <c r="N21" s="26" t="s">
        <v>55</v>
      </c>
      <c r="O21" s="46"/>
      <c r="P21" s="47"/>
    </row>
    <row r="22">
      <c r="B22" s="44"/>
      <c r="C22" s="44"/>
      <c r="D22" s="45"/>
      <c r="E22" s="44"/>
      <c r="F22" s="16"/>
      <c r="G22" s="16"/>
      <c r="H22" s="16">
        <f t="shared" si="6"/>
        <v>0</v>
      </c>
      <c r="I22" s="40"/>
      <c r="J22" s="40"/>
      <c r="K22" s="41"/>
      <c r="M22" s="30"/>
      <c r="N22" s="10" t="s">
        <v>13</v>
      </c>
      <c r="O22" s="29"/>
      <c r="P22" s="30"/>
    </row>
    <row r="23">
      <c r="B23" s="44"/>
      <c r="C23" s="44"/>
      <c r="D23" s="45"/>
      <c r="E23" s="44"/>
      <c r="F23" s="16"/>
      <c r="G23" s="16"/>
      <c r="H23" s="16">
        <f t="shared" si="6"/>
        <v>0</v>
      </c>
      <c r="I23" s="40"/>
      <c r="J23" s="40"/>
      <c r="K23" s="41"/>
      <c r="M23" s="33"/>
      <c r="N23" s="34" t="s">
        <v>18</v>
      </c>
      <c r="O23" s="48"/>
      <c r="P23" s="36"/>
    </row>
    <row r="24">
      <c r="B24" s="44"/>
      <c r="C24" s="44"/>
      <c r="D24" s="45"/>
      <c r="E24" s="44"/>
      <c r="F24" s="16"/>
      <c r="G24" s="16"/>
      <c r="H24" s="16">
        <f t="shared" si="6"/>
        <v>0</v>
      </c>
      <c r="I24" s="40"/>
      <c r="J24" s="40"/>
      <c r="K24" s="41"/>
      <c r="M24" s="37"/>
      <c r="N24" s="13" t="s">
        <v>22</v>
      </c>
      <c r="O24" s="38"/>
      <c r="P24" s="37"/>
    </row>
    <row r="25">
      <c r="B25" s="44"/>
      <c r="C25" s="44"/>
      <c r="D25" s="45"/>
      <c r="E25" s="44"/>
      <c r="F25" s="16"/>
      <c r="G25" s="16"/>
      <c r="H25" s="16">
        <f t="shared" si="6"/>
        <v>0</v>
      </c>
      <c r="I25" s="40"/>
      <c r="J25" s="40"/>
      <c r="K25" s="41"/>
      <c r="M25" s="42"/>
      <c r="N25" s="10" t="s">
        <v>25</v>
      </c>
      <c r="O25" s="49"/>
      <c r="P25" s="43"/>
    </row>
    <row r="26">
      <c r="B26" s="44"/>
      <c r="C26" s="44"/>
      <c r="D26" s="45"/>
      <c r="E26" s="44"/>
      <c r="F26" s="16"/>
      <c r="G26" s="16"/>
      <c r="H26" s="16">
        <f t="shared" si="6"/>
        <v>0</v>
      </c>
      <c r="I26" s="40"/>
      <c r="J26" s="40"/>
      <c r="K26" s="41"/>
      <c r="M26" s="42"/>
      <c r="N26" s="10" t="s">
        <v>56</v>
      </c>
      <c r="O26" s="49"/>
      <c r="P26" s="43"/>
    </row>
    <row r="27">
      <c r="B27" s="44"/>
      <c r="C27" s="44"/>
      <c r="D27" s="45"/>
      <c r="E27" s="44"/>
      <c r="F27" s="16"/>
      <c r="G27" s="16"/>
      <c r="H27" s="23">
        <f t="shared" si="6"/>
        <v>0</v>
      </c>
      <c r="I27" s="50"/>
      <c r="J27" s="30"/>
      <c r="K27" s="30"/>
      <c r="N27" s="10" t="s">
        <v>57</v>
      </c>
      <c r="O27" s="16">
        <f>IF(O22=0,0,PMT(O23/12,O25,-O22))</f>
        <v>0</v>
      </c>
    </row>
    <row r="28">
      <c r="B28" s="44"/>
      <c r="C28" s="44"/>
      <c r="D28" s="45"/>
      <c r="E28" s="44"/>
      <c r="F28" s="16"/>
      <c r="G28" s="16"/>
      <c r="H28" s="23">
        <f t="shared" si="6"/>
        <v>0</v>
      </c>
      <c r="I28" s="50"/>
      <c r="J28" s="30"/>
      <c r="K28" s="30"/>
      <c r="N28" s="10" t="s">
        <v>58</v>
      </c>
      <c r="O28" s="16">
        <f>O22*O23/12</f>
        <v>0</v>
      </c>
    </row>
    <row r="29">
      <c r="B29" s="12" t="s">
        <v>59</v>
      </c>
      <c r="C29" s="51"/>
      <c r="D29" s="52">
        <f>SUM(D18:D28)</f>
        <v>1634</v>
      </c>
      <c r="E29" s="51"/>
      <c r="F29" s="23">
        <f t="shared" ref="F29:H29" si="7">SUM(F18:F28)</f>
        <v>2875</v>
      </c>
      <c r="G29" s="23">
        <f t="shared" si="7"/>
        <v>2647</v>
      </c>
      <c r="H29" s="23">
        <f t="shared" si="7"/>
        <v>228</v>
      </c>
      <c r="I29" s="53"/>
      <c r="J29" s="53"/>
      <c r="K29" s="53"/>
      <c r="N29" s="10" t="s">
        <v>33</v>
      </c>
      <c r="O29" s="16">
        <f>IF(O26&gt;0,O28*12,O27*12)</f>
        <v>0</v>
      </c>
    </row>
    <row r="30">
      <c r="I30" s="30"/>
      <c r="J30" s="30"/>
      <c r="K30" s="30"/>
      <c r="N30" s="25"/>
      <c r="O30" s="25"/>
    </row>
    <row r="31">
      <c r="B31" s="28" t="s">
        <v>40</v>
      </c>
      <c r="N31" s="54" t="s">
        <v>60</v>
      </c>
      <c r="O31" s="55"/>
    </row>
    <row r="32">
      <c r="N32" s="10" t="s">
        <v>61</v>
      </c>
      <c r="O32" s="16">
        <f>O6+O14+O22</f>
        <v>0</v>
      </c>
    </row>
    <row r="33">
      <c r="B33" s="31" t="s">
        <v>62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56" t="s">
        <v>63</v>
      </c>
      <c r="O33" s="57">
        <f>O11+O19+O29</f>
        <v>0</v>
      </c>
      <c r="P33" s="32"/>
    </row>
    <row r="34">
      <c r="B34" s="12" t="s">
        <v>64</v>
      </c>
      <c r="C34" s="12" t="s">
        <v>65</v>
      </c>
      <c r="D34" s="12" t="s">
        <v>66</v>
      </c>
      <c r="E34" s="12" t="s">
        <v>67</v>
      </c>
      <c r="F34" s="12" t="s">
        <v>68</v>
      </c>
      <c r="G34" s="12" t="s">
        <v>69</v>
      </c>
      <c r="H34" s="12" t="s">
        <v>70</v>
      </c>
      <c r="I34" s="12" t="s">
        <v>71</v>
      </c>
      <c r="J34" s="12" t="s">
        <v>72</v>
      </c>
      <c r="K34" s="12" t="s">
        <v>73</v>
      </c>
      <c r="L34" s="12" t="s">
        <v>74</v>
      </c>
      <c r="M34" s="12" t="s">
        <v>75</v>
      </c>
      <c r="N34" s="13" t="s">
        <v>76</v>
      </c>
      <c r="O34" s="19">
        <f>IF(O32=0,0,(O6*O7+O14*O15+O22*O23)/O32)</f>
        <v>0</v>
      </c>
    </row>
    <row r="35">
      <c r="B35" s="10" t="s">
        <v>77</v>
      </c>
      <c r="C35" s="16" t="str">
        <f>D35/D7/12</f>
        <v>#VALUE!</v>
      </c>
      <c r="D35" s="16">
        <f>F29*12</f>
        <v>34500</v>
      </c>
      <c r="E35" s="16">
        <f t="shared" ref="E35:E39" si="10">D35</f>
        <v>34500</v>
      </c>
      <c r="F35" s="16" t="str">
        <f t="shared" ref="F35:M35" si="8">E35*(1+#REF!)</f>
        <v>#REF!</v>
      </c>
      <c r="G35" s="16" t="str">
        <f t="shared" si="8"/>
        <v>#REF!</v>
      </c>
      <c r="H35" s="16" t="str">
        <f t="shared" si="8"/>
        <v>#REF!</v>
      </c>
      <c r="I35" s="16" t="str">
        <f t="shared" si="8"/>
        <v>#REF!</v>
      </c>
      <c r="J35" s="16" t="str">
        <f t="shared" si="8"/>
        <v>#REF!</v>
      </c>
      <c r="K35" s="16" t="str">
        <f t="shared" si="8"/>
        <v>#REF!</v>
      </c>
      <c r="L35" s="16" t="str">
        <f t="shared" si="8"/>
        <v>#REF!</v>
      </c>
      <c r="M35" s="16" t="str">
        <f t="shared" si="8"/>
        <v>#REF!</v>
      </c>
      <c r="N35" s="58" t="s">
        <v>78</v>
      </c>
      <c r="O35" s="19">
        <f>IF(O32=0,0,E73/O32)</f>
        <v>0</v>
      </c>
    </row>
    <row r="36">
      <c r="B36" s="10" t="s">
        <v>79</v>
      </c>
      <c r="C36" s="16" t="str">
        <f t="shared" ref="C36:D36" si="9">-C35*#REF!</f>
        <v>#VALUE!</v>
      </c>
      <c r="D36" s="16" t="str">
        <f t="shared" si="9"/>
        <v>#REF!</v>
      </c>
      <c r="E36" s="16" t="str">
        <f t="shared" si="10"/>
        <v>#REF!</v>
      </c>
      <c r="F36" s="16" t="str">
        <f t="shared" ref="F36:M36" si="11">-F35*#REF!</f>
        <v>#REF!</v>
      </c>
      <c r="G36" s="16" t="str">
        <f t="shared" si="11"/>
        <v>#REF!</v>
      </c>
      <c r="H36" s="16" t="str">
        <f t="shared" si="11"/>
        <v>#REF!</v>
      </c>
      <c r="I36" s="16" t="str">
        <f t="shared" si="11"/>
        <v>#REF!</v>
      </c>
      <c r="J36" s="16" t="str">
        <f t="shared" si="11"/>
        <v>#REF!</v>
      </c>
      <c r="K36" s="16" t="str">
        <f t="shared" si="11"/>
        <v>#REF!</v>
      </c>
      <c r="L36" s="16" t="str">
        <f t="shared" si="11"/>
        <v>#REF!</v>
      </c>
      <c r="M36" s="16" t="str">
        <f t="shared" si="11"/>
        <v>#REF!</v>
      </c>
      <c r="N36" s="58" t="s">
        <v>80</v>
      </c>
      <c r="O36" s="19">
        <f>IF(D9=0,0,O32/D9)</f>
        <v>0</v>
      </c>
    </row>
    <row r="37">
      <c r="B37" s="10" t="s">
        <v>81</v>
      </c>
      <c r="C37" s="16" t="str">
        <f>D37/D7/12</f>
        <v>#VALUE!</v>
      </c>
      <c r="D37" s="16">
        <f>-H29*12</f>
        <v>-2736</v>
      </c>
      <c r="E37" s="16">
        <f t="shared" si="10"/>
        <v>-2736</v>
      </c>
      <c r="F37" s="16">
        <f t="shared" ref="F37:M37" si="12">E37*(1-0.1)</f>
        <v>-2462.4</v>
      </c>
      <c r="G37" s="16">
        <f t="shared" si="12"/>
        <v>-2216.16</v>
      </c>
      <c r="H37" s="16">
        <f t="shared" si="12"/>
        <v>-1994.544</v>
      </c>
      <c r="I37" s="16">
        <f t="shared" si="12"/>
        <v>-1795.0896</v>
      </c>
      <c r="J37" s="16">
        <f t="shared" si="12"/>
        <v>-1615.58064</v>
      </c>
      <c r="K37" s="16">
        <f t="shared" si="12"/>
        <v>-1454.022576</v>
      </c>
      <c r="L37" s="16">
        <f t="shared" si="12"/>
        <v>-1308.620318</v>
      </c>
      <c r="M37" s="16">
        <f t="shared" si="12"/>
        <v>-1177.758287</v>
      </c>
      <c r="N37" s="16"/>
    </row>
    <row r="38">
      <c r="B38" s="10" t="s">
        <v>82</v>
      </c>
      <c r="C38" s="16" t="str">
        <f t="shared" ref="C38:D38" si="13">-C35*#REF!</f>
        <v>#VALUE!</v>
      </c>
      <c r="D38" s="16" t="str">
        <f t="shared" si="13"/>
        <v>#REF!</v>
      </c>
      <c r="E38" s="16" t="str">
        <f t="shared" si="10"/>
        <v>#REF!</v>
      </c>
      <c r="F38" s="16" t="str">
        <f t="shared" ref="F38:M38" si="14">-F35*#REF!</f>
        <v>#REF!</v>
      </c>
      <c r="G38" s="16" t="str">
        <f t="shared" si="14"/>
        <v>#REF!</v>
      </c>
      <c r="H38" s="16" t="str">
        <f t="shared" si="14"/>
        <v>#REF!</v>
      </c>
      <c r="I38" s="16" t="str">
        <f t="shared" si="14"/>
        <v>#REF!</v>
      </c>
      <c r="J38" s="16" t="str">
        <f t="shared" si="14"/>
        <v>#REF!</v>
      </c>
      <c r="K38" s="16" t="str">
        <f t="shared" si="14"/>
        <v>#REF!</v>
      </c>
      <c r="L38" s="16" t="str">
        <f t="shared" si="14"/>
        <v>#REF!</v>
      </c>
      <c r="M38" s="16" t="str">
        <f t="shared" si="14"/>
        <v>#REF!</v>
      </c>
      <c r="N38" s="16"/>
    </row>
    <row r="39">
      <c r="B39" s="10" t="s">
        <v>83</v>
      </c>
      <c r="C39" s="16" t="str">
        <f t="shared" ref="C39:D39" si="15">-C35*#REF!</f>
        <v>#VALUE!</v>
      </c>
      <c r="D39" s="16" t="str">
        <f t="shared" si="15"/>
        <v>#REF!</v>
      </c>
      <c r="E39" s="16" t="str">
        <f t="shared" si="10"/>
        <v>#REF!</v>
      </c>
      <c r="F39" s="16" t="str">
        <f t="shared" ref="F39:M39" si="16">-F35*#REF!</f>
        <v>#REF!</v>
      </c>
      <c r="G39" s="16" t="str">
        <f t="shared" si="16"/>
        <v>#REF!</v>
      </c>
      <c r="H39" s="16" t="str">
        <f t="shared" si="16"/>
        <v>#REF!</v>
      </c>
      <c r="I39" s="16" t="str">
        <f t="shared" si="16"/>
        <v>#REF!</v>
      </c>
      <c r="J39" s="16" t="str">
        <f t="shared" si="16"/>
        <v>#REF!</v>
      </c>
      <c r="K39" s="16" t="str">
        <f t="shared" si="16"/>
        <v>#REF!</v>
      </c>
      <c r="L39" s="16" t="str">
        <f t="shared" si="16"/>
        <v>#REF!</v>
      </c>
      <c r="M39" s="16" t="str">
        <f t="shared" si="16"/>
        <v>#REF!</v>
      </c>
      <c r="N39" s="16"/>
    </row>
    <row r="40">
      <c r="B40" s="12" t="s">
        <v>84</v>
      </c>
      <c r="C40" s="16" t="str">
        <f t="shared" ref="C40:M40" si="17">SUM(C35:C39)</f>
        <v>#VALUE!</v>
      </c>
      <c r="D40" s="16" t="str">
        <f t="shared" si="17"/>
        <v>#REF!</v>
      </c>
      <c r="E40" s="16" t="str">
        <f t="shared" si="17"/>
        <v>#REF!</v>
      </c>
      <c r="F40" s="16" t="str">
        <f t="shared" si="17"/>
        <v>#REF!</v>
      </c>
      <c r="G40" s="16" t="str">
        <f t="shared" si="17"/>
        <v>#REF!</v>
      </c>
      <c r="H40" s="16" t="str">
        <f t="shared" si="17"/>
        <v>#REF!</v>
      </c>
      <c r="I40" s="16" t="str">
        <f t="shared" si="17"/>
        <v>#REF!</v>
      </c>
      <c r="J40" s="16" t="str">
        <f t="shared" si="17"/>
        <v>#REF!</v>
      </c>
      <c r="K40" s="16" t="str">
        <f t="shared" si="17"/>
        <v>#REF!</v>
      </c>
      <c r="L40" s="16" t="str">
        <f t="shared" si="17"/>
        <v>#REF!</v>
      </c>
      <c r="M40" s="16" t="str">
        <f t="shared" si="17"/>
        <v>#REF!</v>
      </c>
      <c r="N40" s="16"/>
    </row>
    <row r="43">
      <c r="B43" s="5" t="s">
        <v>85</v>
      </c>
      <c r="C43" s="6"/>
      <c r="D43" s="59" t="str">
        <f t="shared" ref="D43:N43" si="18">D40</f>
        <v>#REF!</v>
      </c>
      <c r="E43" s="59" t="str">
        <f t="shared" si="18"/>
        <v>#REF!</v>
      </c>
      <c r="F43" s="59" t="str">
        <f t="shared" si="18"/>
        <v>#REF!</v>
      </c>
      <c r="G43" s="59" t="str">
        <f t="shared" si="18"/>
        <v>#REF!</v>
      </c>
      <c r="H43" s="59" t="str">
        <f t="shared" si="18"/>
        <v>#REF!</v>
      </c>
      <c r="I43" s="59" t="str">
        <f t="shared" si="18"/>
        <v>#REF!</v>
      </c>
      <c r="J43" s="59" t="str">
        <f t="shared" si="18"/>
        <v>#REF!</v>
      </c>
      <c r="K43" s="59" t="str">
        <f t="shared" si="18"/>
        <v>#REF!</v>
      </c>
      <c r="L43" s="59" t="str">
        <f t="shared" si="18"/>
        <v>#REF!</v>
      </c>
      <c r="M43" s="59" t="str">
        <f t="shared" si="18"/>
        <v>#REF!</v>
      </c>
      <c r="N43" s="59" t="str">
        <f t="shared" si="18"/>
        <v/>
      </c>
    </row>
    <row r="45">
      <c r="B45" s="28" t="s">
        <v>40</v>
      </c>
    </row>
    <row r="47">
      <c r="B47" s="60" t="s">
        <v>86</v>
      </c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</row>
    <row r="48">
      <c r="B48" s="62" t="s">
        <v>87</v>
      </c>
      <c r="C48" s="62" t="s">
        <v>65</v>
      </c>
      <c r="D48" s="62" t="s">
        <v>66</v>
      </c>
      <c r="E48" s="62" t="s">
        <v>67</v>
      </c>
      <c r="F48" s="62" t="s">
        <v>68</v>
      </c>
      <c r="G48" s="62" t="s">
        <v>69</v>
      </c>
      <c r="H48" s="62" t="s">
        <v>70</v>
      </c>
      <c r="I48" s="62" t="s">
        <v>71</v>
      </c>
      <c r="J48" s="62" t="s">
        <v>72</v>
      </c>
      <c r="K48" s="62" t="s">
        <v>73</v>
      </c>
      <c r="L48" s="62" t="s">
        <v>74</v>
      </c>
      <c r="M48" s="62" t="s">
        <v>75</v>
      </c>
      <c r="N48" s="62" t="s">
        <v>88</v>
      </c>
    </row>
    <row r="49">
      <c r="B49" s="63" t="s">
        <v>89</v>
      </c>
      <c r="C49" s="21">
        <v>15536.0</v>
      </c>
      <c r="D49" s="16" t="str">
        <f t="shared" ref="D49:D70" si="20">C49*12*$D$7</f>
        <v>#VALUE!</v>
      </c>
      <c r="E49" s="16" t="str">
        <f t="shared" ref="E49:E55" si="21">D49</f>
        <v>#VALUE!</v>
      </c>
      <c r="F49" s="16" t="str">
        <f t="shared" ref="F49:N49" si="19">E49*(1+#REF!)</f>
        <v>#VALUE!</v>
      </c>
      <c r="G49" s="16" t="str">
        <f t="shared" si="19"/>
        <v>#VALUE!</v>
      </c>
      <c r="H49" s="16" t="str">
        <f t="shared" si="19"/>
        <v>#VALUE!</v>
      </c>
      <c r="I49" s="16" t="str">
        <f t="shared" si="19"/>
        <v>#VALUE!</v>
      </c>
      <c r="J49" s="16" t="str">
        <f t="shared" si="19"/>
        <v>#VALUE!</v>
      </c>
      <c r="K49" s="16" t="str">
        <f t="shared" si="19"/>
        <v>#VALUE!</v>
      </c>
      <c r="L49" s="16" t="str">
        <f t="shared" si="19"/>
        <v>#VALUE!</v>
      </c>
      <c r="M49" s="16" t="str">
        <f t="shared" si="19"/>
        <v>#VALUE!</v>
      </c>
      <c r="N49" s="16" t="str">
        <f t="shared" si="19"/>
        <v>#VALUE!</v>
      </c>
    </row>
    <row r="50">
      <c r="B50" s="63" t="s">
        <v>90</v>
      </c>
      <c r="C50" s="21">
        <v>1000.0</v>
      </c>
      <c r="D50" s="16" t="str">
        <f t="shared" si="20"/>
        <v>#VALUE!</v>
      </c>
      <c r="E50" s="16" t="str">
        <f t="shared" si="21"/>
        <v>#VALUE!</v>
      </c>
      <c r="F50" s="16" t="str">
        <f t="shared" ref="F50:N50" si="22">E50*(1+#REF!)</f>
        <v>#VALUE!</v>
      </c>
      <c r="G50" s="16" t="str">
        <f t="shared" si="22"/>
        <v>#VALUE!</v>
      </c>
      <c r="H50" s="16" t="str">
        <f t="shared" si="22"/>
        <v>#VALUE!</v>
      </c>
      <c r="I50" s="16" t="str">
        <f t="shared" si="22"/>
        <v>#VALUE!</v>
      </c>
      <c r="J50" s="16" t="str">
        <f t="shared" si="22"/>
        <v>#VALUE!</v>
      </c>
      <c r="K50" s="16" t="str">
        <f t="shared" si="22"/>
        <v>#VALUE!</v>
      </c>
      <c r="L50" s="16" t="str">
        <f t="shared" si="22"/>
        <v>#VALUE!</v>
      </c>
      <c r="M50" s="16" t="str">
        <f t="shared" si="22"/>
        <v>#VALUE!</v>
      </c>
      <c r="N50" s="16" t="str">
        <f t="shared" si="22"/>
        <v>#VALUE!</v>
      </c>
    </row>
    <row r="51">
      <c r="B51" s="63" t="s">
        <v>91</v>
      </c>
      <c r="C51" s="21"/>
      <c r="D51" s="16" t="str">
        <f t="shared" si="20"/>
        <v>#VALUE!</v>
      </c>
      <c r="E51" s="16" t="str">
        <f t="shared" si="21"/>
        <v>#VALUE!</v>
      </c>
      <c r="F51" s="16" t="str">
        <f t="shared" ref="F51:N51" si="23">E51*(1+#REF!)</f>
        <v>#VALUE!</v>
      </c>
      <c r="G51" s="16" t="str">
        <f t="shared" si="23"/>
        <v>#VALUE!</v>
      </c>
      <c r="H51" s="16" t="str">
        <f t="shared" si="23"/>
        <v>#VALUE!</v>
      </c>
      <c r="I51" s="16" t="str">
        <f t="shared" si="23"/>
        <v>#VALUE!</v>
      </c>
      <c r="J51" s="16" t="str">
        <f t="shared" si="23"/>
        <v>#VALUE!</v>
      </c>
      <c r="K51" s="16" t="str">
        <f t="shared" si="23"/>
        <v>#VALUE!</v>
      </c>
      <c r="L51" s="16" t="str">
        <f t="shared" si="23"/>
        <v>#VALUE!</v>
      </c>
      <c r="M51" s="16" t="str">
        <f t="shared" si="23"/>
        <v>#VALUE!</v>
      </c>
      <c r="N51" s="16" t="str">
        <f t="shared" si="23"/>
        <v>#VALUE!</v>
      </c>
    </row>
    <row r="52">
      <c r="B52" s="63" t="s">
        <v>92</v>
      </c>
      <c r="C52" s="21"/>
      <c r="D52" s="16" t="str">
        <f t="shared" si="20"/>
        <v>#VALUE!</v>
      </c>
      <c r="E52" s="16" t="str">
        <f t="shared" si="21"/>
        <v>#VALUE!</v>
      </c>
      <c r="F52" s="16" t="str">
        <f t="shared" ref="F52:N52" si="24">E52*(1+#REF!)</f>
        <v>#VALUE!</v>
      </c>
      <c r="G52" s="16" t="str">
        <f t="shared" si="24"/>
        <v>#VALUE!</v>
      </c>
      <c r="H52" s="16" t="str">
        <f t="shared" si="24"/>
        <v>#VALUE!</v>
      </c>
      <c r="I52" s="16" t="str">
        <f t="shared" si="24"/>
        <v>#VALUE!</v>
      </c>
      <c r="J52" s="16" t="str">
        <f t="shared" si="24"/>
        <v>#VALUE!</v>
      </c>
      <c r="K52" s="16" t="str">
        <f t="shared" si="24"/>
        <v>#VALUE!</v>
      </c>
      <c r="L52" s="16" t="str">
        <f t="shared" si="24"/>
        <v>#VALUE!</v>
      </c>
      <c r="M52" s="16" t="str">
        <f t="shared" si="24"/>
        <v>#VALUE!</v>
      </c>
      <c r="N52" s="16" t="str">
        <f t="shared" si="24"/>
        <v>#VALUE!</v>
      </c>
    </row>
    <row r="53">
      <c r="B53" s="63" t="s">
        <v>93</v>
      </c>
      <c r="C53" s="21"/>
      <c r="D53" s="16" t="str">
        <f t="shared" si="20"/>
        <v>#VALUE!</v>
      </c>
      <c r="E53" s="16" t="str">
        <f t="shared" si="21"/>
        <v>#VALUE!</v>
      </c>
      <c r="F53" s="16" t="str">
        <f t="shared" ref="F53:N53" si="25">E53*(1+#REF!)</f>
        <v>#VALUE!</v>
      </c>
      <c r="G53" s="16" t="str">
        <f t="shared" si="25"/>
        <v>#VALUE!</v>
      </c>
      <c r="H53" s="16" t="str">
        <f t="shared" si="25"/>
        <v>#VALUE!</v>
      </c>
      <c r="I53" s="16" t="str">
        <f t="shared" si="25"/>
        <v>#VALUE!</v>
      </c>
      <c r="J53" s="16" t="str">
        <f t="shared" si="25"/>
        <v>#VALUE!</v>
      </c>
      <c r="K53" s="16" t="str">
        <f t="shared" si="25"/>
        <v>#VALUE!</v>
      </c>
      <c r="L53" s="16" t="str">
        <f t="shared" si="25"/>
        <v>#VALUE!</v>
      </c>
      <c r="M53" s="16" t="str">
        <f t="shared" si="25"/>
        <v>#VALUE!</v>
      </c>
      <c r="N53" s="16" t="str">
        <f t="shared" si="25"/>
        <v>#VALUE!</v>
      </c>
    </row>
    <row r="54">
      <c r="B54" s="63" t="s">
        <v>94</v>
      </c>
      <c r="C54" s="21"/>
      <c r="D54" s="16" t="str">
        <f t="shared" si="20"/>
        <v>#VALUE!</v>
      </c>
      <c r="E54" s="16" t="str">
        <f t="shared" si="21"/>
        <v>#VALUE!</v>
      </c>
      <c r="F54" s="16" t="str">
        <f t="shared" ref="F54:N54" si="26">E54*(1+#REF!)</f>
        <v>#VALUE!</v>
      </c>
      <c r="G54" s="16" t="str">
        <f t="shared" si="26"/>
        <v>#VALUE!</v>
      </c>
      <c r="H54" s="16" t="str">
        <f t="shared" si="26"/>
        <v>#VALUE!</v>
      </c>
      <c r="I54" s="16" t="str">
        <f t="shared" si="26"/>
        <v>#VALUE!</v>
      </c>
      <c r="J54" s="16" t="str">
        <f t="shared" si="26"/>
        <v>#VALUE!</v>
      </c>
      <c r="K54" s="16" t="str">
        <f t="shared" si="26"/>
        <v>#VALUE!</v>
      </c>
      <c r="L54" s="16" t="str">
        <f t="shared" si="26"/>
        <v>#VALUE!</v>
      </c>
      <c r="M54" s="16" t="str">
        <f t="shared" si="26"/>
        <v>#VALUE!</v>
      </c>
      <c r="N54" s="16" t="str">
        <f t="shared" si="26"/>
        <v>#VALUE!</v>
      </c>
    </row>
    <row r="55">
      <c r="B55" s="63" t="s">
        <v>95</v>
      </c>
      <c r="C55" s="21"/>
      <c r="D55" s="16" t="str">
        <f t="shared" si="20"/>
        <v>#VALUE!</v>
      </c>
      <c r="E55" s="16" t="str">
        <f t="shared" si="21"/>
        <v>#VALUE!</v>
      </c>
      <c r="F55" s="16" t="str">
        <f t="shared" ref="F55:N55" si="27">E55*(1+#REF!)</f>
        <v>#VALUE!</v>
      </c>
      <c r="G55" s="16" t="str">
        <f t="shared" si="27"/>
        <v>#VALUE!</v>
      </c>
      <c r="H55" s="16" t="str">
        <f t="shared" si="27"/>
        <v>#VALUE!</v>
      </c>
      <c r="I55" s="16" t="str">
        <f t="shared" si="27"/>
        <v>#VALUE!</v>
      </c>
      <c r="J55" s="16" t="str">
        <f t="shared" si="27"/>
        <v>#VALUE!</v>
      </c>
      <c r="K55" s="16" t="str">
        <f t="shared" si="27"/>
        <v>#VALUE!</v>
      </c>
      <c r="L55" s="16" t="str">
        <f t="shared" si="27"/>
        <v>#VALUE!</v>
      </c>
      <c r="M55" s="16" t="str">
        <f t="shared" si="27"/>
        <v>#VALUE!</v>
      </c>
      <c r="N55" s="16" t="str">
        <f t="shared" si="27"/>
        <v>#VALUE!</v>
      </c>
    </row>
    <row r="56">
      <c r="B56" s="63" t="s">
        <v>96</v>
      </c>
      <c r="C56" s="21"/>
      <c r="D56" s="16" t="str">
        <f t="shared" si="20"/>
        <v>#VALUE!</v>
      </c>
      <c r="E56" s="39" t="s">
        <v>97</v>
      </c>
      <c r="F56" s="16" t="str">
        <f t="shared" ref="F56:N56" si="28">E56*(1+#REF!)</f>
        <v>#REF!</v>
      </c>
      <c r="G56" s="16" t="str">
        <f t="shared" si="28"/>
        <v>#REF!</v>
      </c>
      <c r="H56" s="16" t="str">
        <f t="shared" si="28"/>
        <v>#REF!</v>
      </c>
      <c r="I56" s="16" t="str">
        <f t="shared" si="28"/>
        <v>#REF!</v>
      </c>
      <c r="J56" s="16" t="str">
        <f t="shared" si="28"/>
        <v>#REF!</v>
      </c>
      <c r="K56" s="16" t="str">
        <f t="shared" si="28"/>
        <v>#REF!</v>
      </c>
      <c r="L56" s="16" t="str">
        <f t="shared" si="28"/>
        <v>#REF!</v>
      </c>
      <c r="M56" s="16" t="str">
        <f t="shared" si="28"/>
        <v>#REF!</v>
      </c>
      <c r="N56" s="16" t="str">
        <f t="shared" si="28"/>
        <v>#REF!</v>
      </c>
    </row>
    <row r="57">
      <c r="B57" s="63" t="s">
        <v>98</v>
      </c>
      <c r="C57" s="21"/>
      <c r="D57" s="16" t="str">
        <f t="shared" si="20"/>
        <v>#VALUE!</v>
      </c>
      <c r="E57" s="16" t="str">
        <f t="shared" ref="E57:E70" si="30">D57</f>
        <v>#VALUE!</v>
      </c>
      <c r="F57" s="16" t="str">
        <f t="shared" ref="F57:N57" si="29">E57*(1+#REF!)</f>
        <v>#VALUE!</v>
      </c>
      <c r="G57" s="16" t="str">
        <f t="shared" si="29"/>
        <v>#VALUE!</v>
      </c>
      <c r="H57" s="16" t="str">
        <f t="shared" si="29"/>
        <v>#VALUE!</v>
      </c>
      <c r="I57" s="16" t="str">
        <f t="shared" si="29"/>
        <v>#VALUE!</v>
      </c>
      <c r="J57" s="16" t="str">
        <f t="shared" si="29"/>
        <v>#VALUE!</v>
      </c>
      <c r="K57" s="16" t="str">
        <f t="shared" si="29"/>
        <v>#VALUE!</v>
      </c>
      <c r="L57" s="16" t="str">
        <f t="shared" si="29"/>
        <v>#VALUE!</v>
      </c>
      <c r="M57" s="16" t="str">
        <f t="shared" si="29"/>
        <v>#VALUE!</v>
      </c>
      <c r="N57" s="16" t="str">
        <f t="shared" si="29"/>
        <v>#VALUE!</v>
      </c>
    </row>
    <row r="58">
      <c r="B58" s="63" t="s">
        <v>99</v>
      </c>
      <c r="C58" s="21"/>
      <c r="D58" s="16" t="str">
        <f t="shared" si="20"/>
        <v>#VALUE!</v>
      </c>
      <c r="E58" s="16" t="str">
        <f t="shared" si="30"/>
        <v>#VALUE!</v>
      </c>
      <c r="F58" s="16" t="str">
        <f t="shared" ref="F58:N58" si="31">E58*(1+#REF!)</f>
        <v>#VALUE!</v>
      </c>
      <c r="G58" s="16" t="str">
        <f t="shared" si="31"/>
        <v>#VALUE!</v>
      </c>
      <c r="H58" s="16" t="str">
        <f t="shared" si="31"/>
        <v>#VALUE!</v>
      </c>
      <c r="I58" s="16" t="str">
        <f t="shared" si="31"/>
        <v>#VALUE!</v>
      </c>
      <c r="J58" s="16" t="str">
        <f t="shared" si="31"/>
        <v>#VALUE!</v>
      </c>
      <c r="K58" s="16" t="str">
        <f t="shared" si="31"/>
        <v>#VALUE!</v>
      </c>
      <c r="L58" s="16" t="str">
        <f t="shared" si="31"/>
        <v>#VALUE!</v>
      </c>
      <c r="M58" s="16" t="str">
        <f t="shared" si="31"/>
        <v>#VALUE!</v>
      </c>
      <c r="N58" s="16" t="str">
        <f t="shared" si="31"/>
        <v>#VALUE!</v>
      </c>
    </row>
    <row r="59">
      <c r="B59" s="63" t="s">
        <v>100</v>
      </c>
      <c r="C59" s="21"/>
      <c r="D59" s="16" t="str">
        <f t="shared" si="20"/>
        <v>#VALUE!</v>
      </c>
      <c r="E59" s="16" t="str">
        <f t="shared" si="30"/>
        <v>#VALUE!</v>
      </c>
      <c r="F59" s="16" t="str">
        <f t="shared" ref="F59:N59" si="32">E59*(1+#REF!)</f>
        <v>#VALUE!</v>
      </c>
      <c r="G59" s="16" t="str">
        <f t="shared" si="32"/>
        <v>#VALUE!</v>
      </c>
      <c r="H59" s="16" t="str">
        <f t="shared" si="32"/>
        <v>#VALUE!</v>
      </c>
      <c r="I59" s="16" t="str">
        <f t="shared" si="32"/>
        <v>#VALUE!</v>
      </c>
      <c r="J59" s="16" t="str">
        <f t="shared" si="32"/>
        <v>#VALUE!</v>
      </c>
      <c r="K59" s="16" t="str">
        <f t="shared" si="32"/>
        <v>#VALUE!</v>
      </c>
      <c r="L59" s="16" t="str">
        <f t="shared" si="32"/>
        <v>#VALUE!</v>
      </c>
      <c r="M59" s="16" t="str">
        <f t="shared" si="32"/>
        <v>#VALUE!</v>
      </c>
      <c r="N59" s="16" t="str">
        <f t="shared" si="32"/>
        <v>#VALUE!</v>
      </c>
    </row>
    <row r="60">
      <c r="B60" s="63" t="s">
        <v>101</v>
      </c>
      <c r="C60" s="29" t="str">
        <f>E43/12/$D$7*#REF!</f>
        <v>#REF!</v>
      </c>
      <c r="D60" s="16" t="str">
        <f t="shared" si="20"/>
        <v>#REF!</v>
      </c>
      <c r="E60" s="16" t="str">
        <f t="shared" si="30"/>
        <v>#REF!</v>
      </c>
      <c r="F60" s="16" t="str">
        <f t="shared" ref="F60:N60" si="33">E60*(1+#REF!)</f>
        <v>#REF!</v>
      </c>
      <c r="G60" s="16" t="str">
        <f t="shared" si="33"/>
        <v>#REF!</v>
      </c>
      <c r="H60" s="16" t="str">
        <f t="shared" si="33"/>
        <v>#REF!</v>
      </c>
      <c r="I60" s="16" t="str">
        <f t="shared" si="33"/>
        <v>#REF!</v>
      </c>
      <c r="J60" s="16" t="str">
        <f t="shared" si="33"/>
        <v>#REF!</v>
      </c>
      <c r="K60" s="16" t="str">
        <f t="shared" si="33"/>
        <v>#REF!</v>
      </c>
      <c r="L60" s="16" t="str">
        <f t="shared" si="33"/>
        <v>#REF!</v>
      </c>
      <c r="M60" s="16" t="str">
        <f t="shared" si="33"/>
        <v>#REF!</v>
      </c>
      <c r="N60" s="16" t="str">
        <f t="shared" si="33"/>
        <v>#REF!</v>
      </c>
    </row>
    <row r="61">
      <c r="B61" s="63" t="s">
        <v>102</v>
      </c>
      <c r="C61" s="21"/>
      <c r="D61" s="16" t="str">
        <f t="shared" si="20"/>
        <v>#VALUE!</v>
      </c>
      <c r="E61" s="16" t="str">
        <f t="shared" si="30"/>
        <v>#VALUE!</v>
      </c>
      <c r="F61" s="16" t="str">
        <f t="shared" ref="F61:N61" si="34">E61*(1+#REF!)</f>
        <v>#VALUE!</v>
      </c>
      <c r="G61" s="16" t="str">
        <f t="shared" si="34"/>
        <v>#VALUE!</v>
      </c>
      <c r="H61" s="16" t="str">
        <f t="shared" si="34"/>
        <v>#VALUE!</v>
      </c>
      <c r="I61" s="16" t="str">
        <f t="shared" si="34"/>
        <v>#VALUE!</v>
      </c>
      <c r="J61" s="16" t="str">
        <f t="shared" si="34"/>
        <v>#VALUE!</v>
      </c>
      <c r="K61" s="16" t="str">
        <f t="shared" si="34"/>
        <v>#VALUE!</v>
      </c>
      <c r="L61" s="16" t="str">
        <f t="shared" si="34"/>
        <v>#VALUE!</v>
      </c>
      <c r="M61" s="16" t="str">
        <f t="shared" si="34"/>
        <v>#VALUE!</v>
      </c>
      <c r="N61" s="16" t="str">
        <f t="shared" si="34"/>
        <v>#VALUE!</v>
      </c>
    </row>
    <row r="62">
      <c r="B62" s="63" t="s">
        <v>103</v>
      </c>
      <c r="C62" s="21"/>
      <c r="D62" s="16" t="str">
        <f t="shared" si="20"/>
        <v>#VALUE!</v>
      </c>
      <c r="E62" s="16" t="str">
        <f t="shared" si="30"/>
        <v>#VALUE!</v>
      </c>
      <c r="F62" s="16" t="str">
        <f t="shared" ref="F62:N62" si="35">E62*(1+#REF!)</f>
        <v>#VALUE!</v>
      </c>
      <c r="G62" s="16" t="str">
        <f t="shared" si="35"/>
        <v>#VALUE!</v>
      </c>
      <c r="H62" s="16" t="str">
        <f t="shared" si="35"/>
        <v>#VALUE!</v>
      </c>
      <c r="I62" s="16" t="str">
        <f t="shared" si="35"/>
        <v>#VALUE!</v>
      </c>
      <c r="J62" s="16" t="str">
        <f t="shared" si="35"/>
        <v>#VALUE!</v>
      </c>
      <c r="K62" s="16" t="str">
        <f t="shared" si="35"/>
        <v>#VALUE!</v>
      </c>
      <c r="L62" s="16" t="str">
        <f t="shared" si="35"/>
        <v>#VALUE!</v>
      </c>
      <c r="M62" s="16" t="str">
        <f t="shared" si="35"/>
        <v>#VALUE!</v>
      </c>
      <c r="N62" s="16" t="str">
        <f t="shared" si="35"/>
        <v>#VALUE!</v>
      </c>
    </row>
    <row r="63">
      <c r="B63" s="63" t="s">
        <v>104</v>
      </c>
      <c r="C63" s="21"/>
      <c r="D63" s="16" t="str">
        <f t="shared" si="20"/>
        <v>#VALUE!</v>
      </c>
      <c r="E63" s="16" t="str">
        <f t="shared" si="30"/>
        <v>#VALUE!</v>
      </c>
      <c r="F63" s="16" t="str">
        <f t="shared" ref="F63:N63" si="36">E63*(1+#REF!)</f>
        <v>#VALUE!</v>
      </c>
      <c r="G63" s="16" t="str">
        <f t="shared" si="36"/>
        <v>#VALUE!</v>
      </c>
      <c r="H63" s="16" t="str">
        <f t="shared" si="36"/>
        <v>#VALUE!</v>
      </c>
      <c r="I63" s="16" t="str">
        <f t="shared" si="36"/>
        <v>#VALUE!</v>
      </c>
      <c r="J63" s="16" t="str">
        <f t="shared" si="36"/>
        <v>#VALUE!</v>
      </c>
      <c r="K63" s="16" t="str">
        <f t="shared" si="36"/>
        <v>#VALUE!</v>
      </c>
      <c r="L63" s="16" t="str">
        <f t="shared" si="36"/>
        <v>#VALUE!</v>
      </c>
      <c r="M63" s="16" t="str">
        <f t="shared" si="36"/>
        <v>#VALUE!</v>
      </c>
      <c r="N63" s="16" t="str">
        <f t="shared" si="36"/>
        <v>#VALUE!</v>
      </c>
    </row>
    <row r="64">
      <c r="B64" s="63" t="s">
        <v>105</v>
      </c>
      <c r="C64" s="21"/>
      <c r="D64" s="16" t="str">
        <f t="shared" si="20"/>
        <v>#VALUE!</v>
      </c>
      <c r="E64" s="16" t="str">
        <f t="shared" si="30"/>
        <v>#VALUE!</v>
      </c>
      <c r="F64" s="16" t="str">
        <f t="shared" ref="F64:N64" si="37">E64*(1+#REF!)</f>
        <v>#VALUE!</v>
      </c>
      <c r="G64" s="16" t="str">
        <f t="shared" si="37"/>
        <v>#VALUE!</v>
      </c>
      <c r="H64" s="16" t="str">
        <f t="shared" si="37"/>
        <v>#VALUE!</v>
      </c>
      <c r="I64" s="16" t="str">
        <f t="shared" si="37"/>
        <v>#VALUE!</v>
      </c>
      <c r="J64" s="16" t="str">
        <f t="shared" si="37"/>
        <v>#VALUE!</v>
      </c>
      <c r="K64" s="16" t="str">
        <f t="shared" si="37"/>
        <v>#VALUE!</v>
      </c>
      <c r="L64" s="16" t="str">
        <f t="shared" si="37"/>
        <v>#VALUE!</v>
      </c>
      <c r="M64" s="16" t="str">
        <f t="shared" si="37"/>
        <v>#VALUE!</v>
      </c>
      <c r="N64" s="16" t="str">
        <f t="shared" si="37"/>
        <v>#VALUE!</v>
      </c>
    </row>
    <row r="65">
      <c r="B65" s="63" t="s">
        <v>106</v>
      </c>
      <c r="C65" s="21"/>
      <c r="D65" s="16" t="str">
        <f t="shared" si="20"/>
        <v>#VALUE!</v>
      </c>
      <c r="E65" s="16" t="str">
        <f t="shared" si="30"/>
        <v>#VALUE!</v>
      </c>
      <c r="F65" s="16" t="str">
        <f t="shared" ref="F65:N65" si="38">E65*(1+#REF!)</f>
        <v>#VALUE!</v>
      </c>
      <c r="G65" s="16" t="str">
        <f t="shared" si="38"/>
        <v>#VALUE!</v>
      </c>
      <c r="H65" s="16" t="str">
        <f t="shared" si="38"/>
        <v>#VALUE!</v>
      </c>
      <c r="I65" s="16" t="str">
        <f t="shared" si="38"/>
        <v>#VALUE!</v>
      </c>
      <c r="J65" s="16" t="str">
        <f t="shared" si="38"/>
        <v>#VALUE!</v>
      </c>
      <c r="K65" s="16" t="str">
        <f t="shared" si="38"/>
        <v>#VALUE!</v>
      </c>
      <c r="L65" s="16" t="str">
        <f t="shared" si="38"/>
        <v>#VALUE!</v>
      </c>
      <c r="M65" s="16" t="str">
        <f t="shared" si="38"/>
        <v>#VALUE!</v>
      </c>
      <c r="N65" s="16" t="str">
        <f t="shared" si="38"/>
        <v>#VALUE!</v>
      </c>
    </row>
    <row r="66">
      <c r="B66" s="63" t="s">
        <v>107</v>
      </c>
      <c r="C66" s="21"/>
      <c r="D66" s="16" t="str">
        <f t="shared" si="20"/>
        <v>#VALUE!</v>
      </c>
      <c r="E66" s="16" t="str">
        <f t="shared" si="30"/>
        <v>#VALUE!</v>
      </c>
      <c r="F66" s="16" t="str">
        <f t="shared" ref="F66:N66" si="39">E66*(1+#REF!)</f>
        <v>#VALUE!</v>
      </c>
      <c r="G66" s="16" t="str">
        <f t="shared" si="39"/>
        <v>#VALUE!</v>
      </c>
      <c r="H66" s="16" t="str">
        <f t="shared" si="39"/>
        <v>#VALUE!</v>
      </c>
      <c r="I66" s="16" t="str">
        <f t="shared" si="39"/>
        <v>#VALUE!</v>
      </c>
      <c r="J66" s="16" t="str">
        <f t="shared" si="39"/>
        <v>#VALUE!</v>
      </c>
      <c r="K66" s="16" t="str">
        <f t="shared" si="39"/>
        <v>#VALUE!</v>
      </c>
      <c r="L66" s="16" t="str">
        <f t="shared" si="39"/>
        <v>#VALUE!</v>
      </c>
      <c r="M66" s="16" t="str">
        <f t="shared" si="39"/>
        <v>#VALUE!</v>
      </c>
      <c r="N66" s="16" t="str">
        <f t="shared" si="39"/>
        <v>#VALUE!</v>
      </c>
    </row>
    <row r="67">
      <c r="B67" s="63" t="s">
        <v>108</v>
      </c>
      <c r="C67" s="21"/>
      <c r="D67" s="16" t="str">
        <f t="shared" si="20"/>
        <v>#VALUE!</v>
      </c>
      <c r="E67" s="16" t="str">
        <f t="shared" si="30"/>
        <v>#VALUE!</v>
      </c>
      <c r="F67" s="16" t="str">
        <f t="shared" ref="F67:N67" si="40">E67*(1+#REF!)</f>
        <v>#VALUE!</v>
      </c>
      <c r="G67" s="16" t="str">
        <f t="shared" si="40"/>
        <v>#VALUE!</v>
      </c>
      <c r="H67" s="16" t="str">
        <f t="shared" si="40"/>
        <v>#VALUE!</v>
      </c>
      <c r="I67" s="16" t="str">
        <f t="shared" si="40"/>
        <v>#VALUE!</v>
      </c>
      <c r="J67" s="16" t="str">
        <f t="shared" si="40"/>
        <v>#VALUE!</v>
      </c>
      <c r="K67" s="16" t="str">
        <f t="shared" si="40"/>
        <v>#VALUE!</v>
      </c>
      <c r="L67" s="16" t="str">
        <f t="shared" si="40"/>
        <v>#VALUE!</v>
      </c>
      <c r="M67" s="16" t="str">
        <f t="shared" si="40"/>
        <v>#VALUE!</v>
      </c>
      <c r="N67" s="16" t="str">
        <f t="shared" si="40"/>
        <v>#VALUE!</v>
      </c>
    </row>
    <row r="68">
      <c r="B68" s="63" t="s">
        <v>109</v>
      </c>
      <c r="C68" s="21"/>
      <c r="D68" s="16" t="str">
        <f t="shared" si="20"/>
        <v>#VALUE!</v>
      </c>
      <c r="E68" s="16" t="str">
        <f t="shared" si="30"/>
        <v>#VALUE!</v>
      </c>
      <c r="F68" s="16" t="str">
        <f t="shared" ref="F68:N68" si="41">E68*(1+#REF!)</f>
        <v>#VALUE!</v>
      </c>
      <c r="G68" s="16" t="str">
        <f t="shared" si="41"/>
        <v>#VALUE!</v>
      </c>
      <c r="H68" s="16" t="str">
        <f t="shared" si="41"/>
        <v>#VALUE!</v>
      </c>
      <c r="I68" s="16" t="str">
        <f t="shared" si="41"/>
        <v>#VALUE!</v>
      </c>
      <c r="J68" s="16" t="str">
        <f t="shared" si="41"/>
        <v>#VALUE!</v>
      </c>
      <c r="K68" s="16" t="str">
        <f t="shared" si="41"/>
        <v>#VALUE!</v>
      </c>
      <c r="L68" s="16" t="str">
        <f t="shared" si="41"/>
        <v>#VALUE!</v>
      </c>
      <c r="M68" s="16" t="str">
        <f t="shared" si="41"/>
        <v>#VALUE!</v>
      </c>
      <c r="N68" s="16" t="str">
        <f t="shared" si="41"/>
        <v>#VALUE!</v>
      </c>
    </row>
    <row r="69">
      <c r="B69" s="63" t="s">
        <v>110</v>
      </c>
      <c r="C69" s="21"/>
      <c r="D69" s="16" t="str">
        <f t="shared" si="20"/>
        <v>#VALUE!</v>
      </c>
      <c r="E69" s="16" t="str">
        <f t="shared" si="30"/>
        <v>#VALUE!</v>
      </c>
      <c r="F69" s="16" t="str">
        <f t="shared" ref="F69:N69" si="42">E69*(1+#REF!)</f>
        <v>#VALUE!</v>
      </c>
      <c r="G69" s="16" t="str">
        <f t="shared" si="42"/>
        <v>#VALUE!</v>
      </c>
      <c r="H69" s="16" t="str">
        <f t="shared" si="42"/>
        <v>#VALUE!</v>
      </c>
      <c r="I69" s="16" t="str">
        <f t="shared" si="42"/>
        <v>#VALUE!</v>
      </c>
      <c r="J69" s="16" t="str">
        <f t="shared" si="42"/>
        <v>#VALUE!</v>
      </c>
      <c r="K69" s="16" t="str">
        <f t="shared" si="42"/>
        <v>#VALUE!</v>
      </c>
      <c r="L69" s="16" t="str">
        <f t="shared" si="42"/>
        <v>#VALUE!</v>
      </c>
      <c r="M69" s="16" t="str">
        <f t="shared" si="42"/>
        <v>#VALUE!</v>
      </c>
      <c r="N69" s="16" t="str">
        <f t="shared" si="42"/>
        <v>#VALUE!</v>
      </c>
    </row>
    <row r="70">
      <c r="B70" s="63" t="s">
        <v>111</v>
      </c>
      <c r="C70" s="29" t="str">
        <f>#REF!/$D$7/12</f>
        <v>#REF!</v>
      </c>
      <c r="D70" s="16" t="str">
        <f t="shared" si="20"/>
        <v>#REF!</v>
      </c>
      <c r="E70" s="16" t="str">
        <f t="shared" si="30"/>
        <v>#REF!</v>
      </c>
      <c r="F70" s="16" t="str">
        <f t="shared" ref="F70:N70" si="43">E70*(1+0)</f>
        <v>#REF!</v>
      </c>
      <c r="G70" s="16" t="str">
        <f t="shared" si="43"/>
        <v>#REF!</v>
      </c>
      <c r="H70" s="16" t="str">
        <f t="shared" si="43"/>
        <v>#REF!</v>
      </c>
      <c r="I70" s="16" t="str">
        <f t="shared" si="43"/>
        <v>#REF!</v>
      </c>
      <c r="J70" s="16" t="str">
        <f t="shared" si="43"/>
        <v>#REF!</v>
      </c>
      <c r="K70" s="16" t="str">
        <f t="shared" si="43"/>
        <v>#REF!</v>
      </c>
      <c r="L70" s="16" t="str">
        <f t="shared" si="43"/>
        <v>#REF!</v>
      </c>
      <c r="M70" s="16" t="str">
        <f t="shared" si="43"/>
        <v>#REF!</v>
      </c>
      <c r="N70" s="16" t="str">
        <f t="shared" si="43"/>
        <v>#REF!</v>
      </c>
    </row>
    <row r="71">
      <c r="B71" s="62" t="s">
        <v>112</v>
      </c>
      <c r="C71" s="64" t="str">
        <f t="shared" ref="C71:N71" si="44">SUM(C49:C70)</f>
        <v>#REF!</v>
      </c>
      <c r="D71" s="65" t="str">
        <f t="shared" si="44"/>
        <v>#VALUE!</v>
      </c>
      <c r="E71" s="65" t="str">
        <f t="shared" si="44"/>
        <v>#VALUE!</v>
      </c>
      <c r="F71" s="65" t="str">
        <f t="shared" si="44"/>
        <v>#VALUE!</v>
      </c>
      <c r="G71" s="65" t="str">
        <f t="shared" si="44"/>
        <v>#VALUE!</v>
      </c>
      <c r="H71" s="65" t="str">
        <f t="shared" si="44"/>
        <v>#VALUE!</v>
      </c>
      <c r="I71" s="65" t="str">
        <f t="shared" si="44"/>
        <v>#VALUE!</v>
      </c>
      <c r="J71" s="65" t="str">
        <f t="shared" si="44"/>
        <v>#VALUE!</v>
      </c>
      <c r="K71" s="65" t="str">
        <f t="shared" si="44"/>
        <v>#VALUE!</v>
      </c>
      <c r="L71" s="65" t="str">
        <f t="shared" si="44"/>
        <v>#VALUE!</v>
      </c>
      <c r="M71" s="65" t="str">
        <f t="shared" si="44"/>
        <v>#VALUE!</v>
      </c>
      <c r="N71" s="65" t="str">
        <f t="shared" si="44"/>
        <v>#VALUE!</v>
      </c>
    </row>
    <row r="73">
      <c r="B73" s="66" t="s">
        <v>113</v>
      </c>
      <c r="C73" s="9"/>
      <c r="D73" s="67" t="str">
        <f t="shared" ref="D73:N73" si="45">D43-D71</f>
        <v>#REF!</v>
      </c>
      <c r="E73" s="67" t="str">
        <f t="shared" si="45"/>
        <v>#REF!</v>
      </c>
      <c r="F73" s="67" t="str">
        <f t="shared" si="45"/>
        <v>#REF!</v>
      </c>
      <c r="G73" s="67" t="str">
        <f t="shared" si="45"/>
        <v>#REF!</v>
      </c>
      <c r="H73" s="67" t="str">
        <f t="shared" si="45"/>
        <v>#REF!</v>
      </c>
      <c r="I73" s="67" t="str">
        <f t="shared" si="45"/>
        <v>#REF!</v>
      </c>
      <c r="J73" s="67" t="str">
        <f t="shared" si="45"/>
        <v>#REF!</v>
      </c>
      <c r="K73" s="67" t="str">
        <f t="shared" si="45"/>
        <v>#REF!</v>
      </c>
      <c r="L73" s="67" t="str">
        <f t="shared" si="45"/>
        <v>#REF!</v>
      </c>
      <c r="M73" s="67" t="str">
        <f t="shared" si="45"/>
        <v>#REF!</v>
      </c>
      <c r="N73" s="67" t="str">
        <f t="shared" si="45"/>
        <v>#VALUE!</v>
      </c>
    </row>
    <row r="75">
      <c r="B75" s="10" t="s">
        <v>114</v>
      </c>
      <c r="E75" s="17" t="str">
        <f t="shared" ref="E75:N75" si="46">IF(E43=0,0,E71/E43)</f>
        <v>#REF!</v>
      </c>
      <c r="F75" s="17" t="str">
        <f t="shared" si="46"/>
        <v>#REF!</v>
      </c>
      <c r="G75" s="17" t="str">
        <f t="shared" si="46"/>
        <v>#REF!</v>
      </c>
      <c r="H75" s="17" t="str">
        <f t="shared" si="46"/>
        <v>#REF!</v>
      </c>
      <c r="I75" s="17" t="str">
        <f t="shared" si="46"/>
        <v>#REF!</v>
      </c>
      <c r="J75" s="17" t="str">
        <f t="shared" si="46"/>
        <v>#REF!</v>
      </c>
      <c r="K75" s="17" t="str">
        <f t="shared" si="46"/>
        <v>#REF!</v>
      </c>
      <c r="L75" s="17" t="str">
        <f t="shared" si="46"/>
        <v>#REF!</v>
      </c>
      <c r="M75" s="17" t="str">
        <f t="shared" si="46"/>
        <v>#REF!</v>
      </c>
      <c r="N75" s="17">
        <f t="shared" si="46"/>
        <v>0</v>
      </c>
    </row>
    <row r="76">
      <c r="B76" s="10" t="s">
        <v>115</v>
      </c>
      <c r="E76" s="16" t="str">
        <f t="shared" ref="E76:N76" si="47">IF($D$7=0,0,E73/$D$7)</f>
        <v>#REF!</v>
      </c>
      <c r="F76" s="16" t="str">
        <f t="shared" si="47"/>
        <v>#REF!</v>
      </c>
      <c r="G76" s="16" t="str">
        <f t="shared" si="47"/>
        <v>#REF!</v>
      </c>
      <c r="H76" s="16" t="str">
        <f t="shared" si="47"/>
        <v>#REF!</v>
      </c>
      <c r="I76" s="16" t="str">
        <f t="shared" si="47"/>
        <v>#REF!</v>
      </c>
      <c r="J76" s="16" t="str">
        <f t="shared" si="47"/>
        <v>#REF!</v>
      </c>
      <c r="K76" s="16" t="str">
        <f t="shared" si="47"/>
        <v>#REF!</v>
      </c>
      <c r="L76" s="16" t="str">
        <f t="shared" si="47"/>
        <v>#REF!</v>
      </c>
      <c r="M76" s="16" t="str">
        <f t="shared" si="47"/>
        <v>#REF!</v>
      </c>
      <c r="N76" s="16" t="str">
        <f t="shared" si="47"/>
        <v>#VALUE!</v>
      </c>
    </row>
    <row r="79">
      <c r="B79" s="31" t="s">
        <v>116</v>
      </c>
      <c r="C79" s="32"/>
      <c r="D79" s="32"/>
      <c r="E79" s="32"/>
      <c r="F79" s="32"/>
      <c r="G79" s="32"/>
    </row>
    <row r="80">
      <c r="B80" s="12" t="s">
        <v>117</v>
      </c>
      <c r="C80" s="12" t="s">
        <v>118</v>
      </c>
      <c r="D80" s="12" t="s">
        <v>67</v>
      </c>
      <c r="E80" s="12" t="s">
        <v>68</v>
      </c>
      <c r="F80" s="12" t="s">
        <v>69</v>
      </c>
      <c r="G80" s="12" t="s">
        <v>70</v>
      </c>
    </row>
    <row r="81">
      <c r="B81" s="10" t="s">
        <v>119</v>
      </c>
      <c r="C81" s="16"/>
      <c r="D81" s="16" t="str">
        <f t="shared" ref="D81:G81" si="48">E73</f>
        <v>#REF!</v>
      </c>
      <c r="E81" s="16" t="str">
        <f t="shared" si="48"/>
        <v>#REF!</v>
      </c>
      <c r="F81" s="16" t="str">
        <f t="shared" si="48"/>
        <v>#REF!</v>
      </c>
      <c r="G81" s="16" t="str">
        <f t="shared" si="48"/>
        <v>#REF!</v>
      </c>
    </row>
    <row r="82">
      <c r="B82" s="10" t="s">
        <v>120</v>
      </c>
      <c r="C82" s="16"/>
      <c r="D82" s="16" t="str">
        <f t="shared" ref="D82:G82" si="49">-#REF!</f>
        <v>#REF!</v>
      </c>
      <c r="E82" s="16" t="str">
        <f t="shared" si="49"/>
        <v>#REF!</v>
      </c>
      <c r="F82" s="16" t="str">
        <f t="shared" si="49"/>
        <v>#REF!</v>
      </c>
      <c r="G82" s="16" t="str">
        <f t="shared" si="49"/>
        <v>#REF!</v>
      </c>
    </row>
    <row r="83">
      <c r="B83" s="10" t="s">
        <v>121</v>
      </c>
      <c r="C83" s="16"/>
      <c r="D83" s="16" t="str">
        <f t="shared" ref="D83:G83" si="50">-#REF!</f>
        <v>#REF!</v>
      </c>
      <c r="E83" s="16" t="str">
        <f t="shared" si="50"/>
        <v>#REF!</v>
      </c>
      <c r="F83" s="16" t="str">
        <f t="shared" si="50"/>
        <v>#REF!</v>
      </c>
      <c r="G83" s="16" t="str">
        <f t="shared" si="50"/>
        <v>#REF!</v>
      </c>
    </row>
    <row r="84">
      <c r="B84" s="10" t="s">
        <v>122</v>
      </c>
      <c r="C84" s="16"/>
      <c r="D84" s="16" t="str">
        <f t="shared" ref="D84:G84" si="51">-#REF!</f>
        <v>#REF!</v>
      </c>
      <c r="E84" s="16" t="str">
        <f t="shared" si="51"/>
        <v>#REF!</v>
      </c>
      <c r="F84" s="16" t="str">
        <f t="shared" si="51"/>
        <v>#REF!</v>
      </c>
      <c r="G84" s="16" t="str">
        <f t="shared" si="51"/>
        <v>#REF!</v>
      </c>
    </row>
    <row r="85">
      <c r="B85" s="12" t="s">
        <v>123</v>
      </c>
      <c r="C85" s="16"/>
      <c r="D85" s="16" t="str">
        <f t="shared" ref="D85:G85" si="52">SUM(D82:D84)</f>
        <v>#REF!</v>
      </c>
      <c r="E85" s="16" t="str">
        <f t="shared" si="52"/>
        <v>#REF!</v>
      </c>
      <c r="F85" s="16" t="str">
        <f t="shared" si="52"/>
        <v>#REF!</v>
      </c>
      <c r="G85" s="16" t="str">
        <f t="shared" si="52"/>
        <v>#REF!</v>
      </c>
    </row>
    <row r="86">
      <c r="B86" s="10" t="s">
        <v>124</v>
      </c>
      <c r="C86" s="16"/>
      <c r="D86" s="16" t="str">
        <f>-#REF!-#REF!</f>
        <v>#REF!</v>
      </c>
      <c r="E86" s="16" t="str">
        <f t="shared" ref="E86:G86" si="53">-#REF!</f>
        <v>#REF!</v>
      </c>
      <c r="F86" s="16" t="str">
        <f t="shared" si="53"/>
        <v>#REF!</v>
      </c>
      <c r="G86" s="16" t="str">
        <f t="shared" si="53"/>
        <v>#REF!</v>
      </c>
    </row>
    <row r="87">
      <c r="B87" s="68" t="s">
        <v>125</v>
      </c>
      <c r="C87" s="16"/>
      <c r="D87" s="16" t="str">
        <f t="shared" ref="D87:G87" si="54">D81+D85+D86</f>
        <v>#REF!</v>
      </c>
      <c r="E87" s="16" t="str">
        <f t="shared" si="54"/>
        <v>#REF!</v>
      </c>
      <c r="F87" s="16" t="str">
        <f t="shared" si="54"/>
        <v>#REF!</v>
      </c>
      <c r="G87" s="16" t="str">
        <f t="shared" si="54"/>
        <v>#REF!</v>
      </c>
    </row>
    <row r="89">
      <c r="B89" s="10" t="s">
        <v>126</v>
      </c>
      <c r="D89" s="22" t="str">
        <f t="shared" ref="D89:G89" si="55">IF(D85=0,0,D81/-D85)</f>
        <v>#REF!</v>
      </c>
      <c r="E89" s="22" t="str">
        <f t="shared" si="55"/>
        <v>#REF!</v>
      </c>
      <c r="F89" s="22" t="str">
        <f t="shared" si="55"/>
        <v>#REF!</v>
      </c>
      <c r="G89" s="22" t="str">
        <f t="shared" si="55"/>
        <v>#REF!</v>
      </c>
    </row>
    <row r="90">
      <c r="B90" s="10" t="s">
        <v>127</v>
      </c>
      <c r="D90" s="19" t="str">
        <f t="shared" ref="D90:G90" si="56">IF(D105=0,0,D87/D105)</f>
        <v>#REF!</v>
      </c>
      <c r="E90" s="19">
        <f t="shared" si="56"/>
        <v>0</v>
      </c>
      <c r="F90" s="19">
        <f t="shared" si="56"/>
        <v>0</v>
      </c>
      <c r="G90" s="19">
        <f t="shared" si="56"/>
        <v>0</v>
      </c>
    </row>
    <row r="92">
      <c r="B92" s="69" t="s">
        <v>128</v>
      </c>
      <c r="C92" s="70"/>
      <c r="D92" s="70"/>
      <c r="E92" s="70"/>
      <c r="F92" s="70"/>
      <c r="G92" s="70"/>
    </row>
    <row r="93">
      <c r="B93" s="10" t="s">
        <v>129</v>
      </c>
    </row>
    <row r="94">
      <c r="B94" s="10" t="s">
        <v>130</v>
      </c>
      <c r="H94" s="32"/>
      <c r="I94" s="32"/>
      <c r="J94" s="32"/>
      <c r="K94" s="32"/>
      <c r="L94" s="32"/>
      <c r="M94" s="32"/>
      <c r="N94" s="32"/>
    </row>
    <row r="95">
      <c r="B95" s="10" t="s">
        <v>131</v>
      </c>
      <c r="H95" s="12" t="s">
        <v>71</v>
      </c>
      <c r="I95" s="12" t="s">
        <v>72</v>
      </c>
      <c r="J95" s="12" t="s">
        <v>73</v>
      </c>
      <c r="K95" s="12" t="s">
        <v>74</v>
      </c>
      <c r="L95" s="12" t="s">
        <v>75</v>
      </c>
      <c r="M95" s="12" t="s">
        <v>88</v>
      </c>
    </row>
    <row r="96">
      <c r="B96" s="10" t="s">
        <v>132</v>
      </c>
      <c r="H96" s="16" t="str">
        <f t="shared" ref="H96:M96" si="57">I73</f>
        <v>#REF!</v>
      </c>
      <c r="I96" s="16" t="str">
        <f t="shared" si="57"/>
        <v>#REF!</v>
      </c>
      <c r="J96" s="16" t="str">
        <f t="shared" si="57"/>
        <v>#REF!</v>
      </c>
      <c r="K96" s="16" t="str">
        <f t="shared" si="57"/>
        <v>#REF!</v>
      </c>
      <c r="L96" s="16" t="str">
        <f t="shared" si="57"/>
        <v>#REF!</v>
      </c>
      <c r="M96" s="16" t="str">
        <f t="shared" si="57"/>
        <v>#VALUE!</v>
      </c>
    </row>
    <row r="97">
      <c r="B97" s="10" t="s">
        <v>133</v>
      </c>
      <c r="H97" s="16" t="str">
        <f t="shared" ref="H97:M97" si="58">-#REF!</f>
        <v>#REF!</v>
      </c>
      <c r="I97" s="16" t="str">
        <f t="shared" si="58"/>
        <v>#REF!</v>
      </c>
      <c r="J97" s="16" t="str">
        <f t="shared" si="58"/>
        <v>#REF!</v>
      </c>
      <c r="K97" s="16" t="str">
        <f t="shared" si="58"/>
        <v>#REF!</v>
      </c>
      <c r="L97" s="16" t="str">
        <f t="shared" si="58"/>
        <v>#REF!</v>
      </c>
      <c r="M97" s="16" t="str">
        <f t="shared" si="58"/>
        <v>#REF!</v>
      </c>
    </row>
    <row r="98">
      <c r="B98" s="71" t="s">
        <v>134</v>
      </c>
      <c r="H98" s="16" t="str">
        <f t="shared" ref="H98:M98" si="59">-#REF!</f>
        <v>#REF!</v>
      </c>
      <c r="I98" s="16" t="str">
        <f t="shared" si="59"/>
        <v>#REF!</v>
      </c>
      <c r="J98" s="16" t="str">
        <f t="shared" si="59"/>
        <v>#REF!</v>
      </c>
      <c r="K98" s="16" t="str">
        <f t="shared" si="59"/>
        <v>#REF!</v>
      </c>
      <c r="L98" s="16" t="str">
        <f t="shared" si="59"/>
        <v>#REF!</v>
      </c>
      <c r="M98" s="16" t="str">
        <f t="shared" si="59"/>
        <v>#REF!</v>
      </c>
    </row>
    <row r="99">
      <c r="H99" s="16"/>
      <c r="I99" s="16"/>
      <c r="J99" s="16"/>
      <c r="K99" s="16"/>
      <c r="L99" s="16"/>
      <c r="M99" s="16"/>
    </row>
    <row r="100">
      <c r="B100" s="5" t="s">
        <v>135</v>
      </c>
      <c r="C100" s="6"/>
      <c r="D100" s="6"/>
      <c r="E100" s="6"/>
      <c r="F100" s="6"/>
      <c r="G100" s="6"/>
      <c r="H100" s="16"/>
      <c r="I100" s="16"/>
      <c r="J100" s="16"/>
      <c r="K100" s="16"/>
      <c r="L100" s="16"/>
      <c r="M100" s="16"/>
    </row>
    <row r="101">
      <c r="B101" s="10" t="s">
        <v>136</v>
      </c>
      <c r="D101" s="16" t="str">
        <f>D9+#REF!+#REF!+#REF!+#REF!+#REF!</f>
        <v>#REF!</v>
      </c>
      <c r="H101" s="16" t="str">
        <f t="shared" ref="H101:M101" si="60">SUM(H97:H98)</f>
        <v>#REF!</v>
      </c>
      <c r="I101" s="16" t="str">
        <f t="shared" si="60"/>
        <v>#REF!</v>
      </c>
      <c r="J101" s="16" t="str">
        <f t="shared" si="60"/>
        <v>#REF!</v>
      </c>
      <c r="K101" s="16" t="str">
        <f t="shared" si="60"/>
        <v>#REF!</v>
      </c>
      <c r="L101" s="16" t="str">
        <f t="shared" si="60"/>
        <v>#REF!</v>
      </c>
      <c r="M101" s="16" t="str">
        <f t="shared" si="60"/>
        <v>#REF!</v>
      </c>
    </row>
    <row r="102">
      <c r="B102" s="10" t="s">
        <v>137</v>
      </c>
      <c r="D102" s="16" t="str">
        <f>-#REF!</f>
        <v>#REF!</v>
      </c>
      <c r="H102" s="16" t="str">
        <f t="shared" ref="H102:M102" si="61">-#REF!</f>
        <v>#REF!</v>
      </c>
      <c r="I102" s="16" t="str">
        <f t="shared" si="61"/>
        <v>#REF!</v>
      </c>
      <c r="J102" s="16" t="str">
        <f t="shared" si="61"/>
        <v>#REF!</v>
      </c>
      <c r="K102" s="16" t="str">
        <f t="shared" si="61"/>
        <v>#REF!</v>
      </c>
      <c r="L102" s="16" t="str">
        <f t="shared" si="61"/>
        <v>#REF!</v>
      </c>
      <c r="M102" s="16" t="str">
        <f t="shared" si="61"/>
        <v>#REF!</v>
      </c>
    </row>
    <row r="103">
      <c r="B103" s="12" t="s">
        <v>138</v>
      </c>
      <c r="D103" s="72" t="str">
        <f>D101+D102</f>
        <v>#REF!</v>
      </c>
      <c r="H103" s="16" t="str">
        <f t="shared" ref="H103:M103" si="62">H96+H101+H102</f>
        <v>#REF!</v>
      </c>
      <c r="I103" s="16" t="str">
        <f t="shared" si="62"/>
        <v>#REF!</v>
      </c>
      <c r="J103" s="16" t="str">
        <f t="shared" si="62"/>
        <v>#REF!</v>
      </c>
      <c r="K103" s="16" t="str">
        <f t="shared" si="62"/>
        <v>#REF!</v>
      </c>
      <c r="L103" s="16" t="str">
        <f t="shared" si="62"/>
        <v>#REF!</v>
      </c>
      <c r="M103" s="16" t="str">
        <f t="shared" si="62"/>
        <v>#VALUE!</v>
      </c>
    </row>
    <row r="104">
      <c r="B104" s="10" t="s">
        <v>139</v>
      </c>
      <c r="D104" s="29" t="str">
        <f>D103*0.9</f>
        <v>#REF!</v>
      </c>
    </row>
    <row r="105">
      <c r="B105" s="10" t="s">
        <v>140</v>
      </c>
      <c r="D105" s="29" t="str">
        <f>D103*0.1</f>
        <v>#REF!</v>
      </c>
      <c r="H105" s="22" t="str">
        <f t="shared" ref="H105:M105" si="63">IF(H101=0,0,H96/-H101)</f>
        <v>#REF!</v>
      </c>
      <c r="I105" s="22" t="str">
        <f t="shared" si="63"/>
        <v>#REF!</v>
      </c>
      <c r="J105" s="22" t="str">
        <f t="shared" si="63"/>
        <v>#REF!</v>
      </c>
      <c r="K105" s="22" t="str">
        <f t="shared" si="63"/>
        <v>#REF!</v>
      </c>
      <c r="L105" s="22" t="str">
        <f t="shared" si="63"/>
        <v>#REF!</v>
      </c>
      <c r="M105" s="22" t="str">
        <f t="shared" si="63"/>
        <v>#REF!</v>
      </c>
    </row>
    <row r="106">
      <c r="H106" s="19" t="str">
        <f t="shared" ref="H106:M106" si="64">IF(#REF!=0,0,H103/#REF!)</f>
        <v>#REF!</v>
      </c>
      <c r="I106" s="19" t="str">
        <f t="shared" si="64"/>
        <v>#REF!</v>
      </c>
      <c r="J106" s="19" t="str">
        <f t="shared" si="64"/>
        <v>#REF!</v>
      </c>
      <c r="K106" s="19" t="str">
        <f t="shared" si="64"/>
        <v>#REF!</v>
      </c>
      <c r="L106" s="19" t="str">
        <f t="shared" si="64"/>
        <v>#REF!</v>
      </c>
      <c r="M106" s="19" t="str">
        <f t="shared" si="64"/>
        <v>#REF!</v>
      </c>
    </row>
    <row r="107">
      <c r="B107" s="66" t="s">
        <v>141</v>
      </c>
      <c r="C107" s="9"/>
      <c r="D107" s="9"/>
      <c r="E107" s="9"/>
      <c r="F107" s="9"/>
      <c r="G107" s="9"/>
    </row>
    <row r="108">
      <c r="B108" s="10" t="s">
        <v>142</v>
      </c>
      <c r="C108" s="16" t="str">
        <f>-D103</f>
        <v>#REF!</v>
      </c>
      <c r="H108" s="70"/>
      <c r="I108" s="70"/>
      <c r="J108" s="70"/>
      <c r="K108" s="70"/>
      <c r="L108" s="70"/>
      <c r="M108" s="70"/>
    </row>
    <row r="109">
      <c r="B109" s="10" t="s">
        <v>143</v>
      </c>
      <c r="D109" s="16" t="str">
        <f t="shared" ref="D109:G109" si="65">D87</f>
        <v>#REF!</v>
      </c>
      <c r="E109" s="16" t="str">
        <f t="shared" si="65"/>
        <v>#REF!</v>
      </c>
      <c r="F109" s="16" t="str">
        <f t="shared" si="65"/>
        <v>#REF!</v>
      </c>
      <c r="G109" s="16" t="str">
        <f t="shared" si="65"/>
        <v>#REF!</v>
      </c>
      <c r="H109" s="19" t="str">
        <f>#REF!</f>
        <v>#REF!</v>
      </c>
      <c r="M109" s="19" t="str">
        <f>#REF!</f>
        <v>#REF!</v>
      </c>
    </row>
    <row r="110">
      <c r="B110" s="10" t="s">
        <v>144</v>
      </c>
      <c r="H110" s="16" t="str">
        <f>I96</f>
        <v>#REF!</v>
      </c>
      <c r="I110" s="16"/>
      <c r="J110" s="16"/>
      <c r="K110" s="16"/>
      <c r="L110" s="16"/>
      <c r="M110" s="16" t="str">
        <f>M96*(1+#REF!)</f>
        <v>#VALUE!</v>
      </c>
    </row>
    <row r="111">
      <c r="B111" s="10" t="s">
        <v>145</v>
      </c>
      <c r="H111" s="16" t="str">
        <f>IF(H109=0,0,H110/H109)</f>
        <v>#REF!</v>
      </c>
      <c r="I111" s="16"/>
      <c r="J111" s="16"/>
      <c r="K111" s="16"/>
      <c r="L111" s="16"/>
      <c r="M111" s="16" t="str">
        <f>IF(M109=0,0,M110/M109)</f>
        <v>#REF!</v>
      </c>
    </row>
    <row r="112">
      <c r="B112" s="68" t="s">
        <v>146</v>
      </c>
      <c r="C112" s="72" t="str">
        <f>C108</f>
        <v>#REF!</v>
      </c>
      <c r="D112" s="72" t="str">
        <f t="shared" ref="D112:G112" si="66">D109</f>
        <v>#REF!</v>
      </c>
      <c r="E112" s="72" t="str">
        <f t="shared" si="66"/>
        <v>#REF!</v>
      </c>
      <c r="F112" s="72" t="str">
        <f t="shared" si="66"/>
        <v>#REF!</v>
      </c>
      <c r="G112" s="72" t="str">
        <f t="shared" si="66"/>
        <v>#REF!</v>
      </c>
      <c r="H112" s="16" t="str">
        <f>-H111*#REF!</f>
        <v>#REF!</v>
      </c>
      <c r="I112" s="16"/>
      <c r="J112" s="16"/>
      <c r="K112" s="16"/>
      <c r="L112" s="16"/>
      <c r="M112" s="16" t="str">
        <f>-M111*#REF!</f>
        <v>#REF!</v>
      </c>
    </row>
    <row r="113">
      <c r="B113" s="68" t="s">
        <v>147</v>
      </c>
      <c r="C113" s="72" t="str">
        <f>C108</f>
        <v>#REF!</v>
      </c>
      <c r="D113" s="72" t="str">
        <f t="shared" ref="D113:G113" si="67">D109</f>
        <v>#REF!</v>
      </c>
      <c r="E113" s="72" t="str">
        <f t="shared" si="67"/>
        <v>#REF!</v>
      </c>
      <c r="F113" s="72" t="str">
        <f t="shared" si="67"/>
        <v>#REF!</v>
      </c>
      <c r="G113" s="72" t="str">
        <f t="shared" si="67"/>
        <v>#REF!</v>
      </c>
      <c r="H113" s="16" t="str">
        <f>-#REF!</f>
        <v>#REF!</v>
      </c>
      <c r="I113" s="16"/>
      <c r="J113" s="16"/>
      <c r="K113" s="16"/>
      <c r="L113" s="16"/>
      <c r="M113" s="16" t="str">
        <f>-#REF!</f>
        <v>#REF!</v>
      </c>
    </row>
    <row r="114">
      <c r="H114" s="16" t="str">
        <f t="shared" ref="H114:H117" si="68">#REF!</f>
        <v>#REF!</v>
      </c>
    </row>
    <row r="115">
      <c r="B115" s="73" t="s">
        <v>148</v>
      </c>
      <c r="C115" s="74"/>
      <c r="D115" s="74"/>
      <c r="E115" s="74"/>
      <c r="F115" s="74"/>
      <c r="G115" s="74"/>
      <c r="H115" s="16" t="str">
        <f t="shared" si="68"/>
        <v>#REF!</v>
      </c>
      <c r="I115" s="16" t="str">
        <f t="shared" ref="I115:M115" si="69">#REF!</f>
        <v>#REF!</v>
      </c>
      <c r="J115" s="16" t="str">
        <f t="shared" si="69"/>
        <v>#REF!</v>
      </c>
      <c r="K115" s="16" t="str">
        <f t="shared" si="69"/>
        <v>#REF!</v>
      </c>
      <c r="L115" s="16" t="str">
        <f t="shared" si="69"/>
        <v>#REF!</v>
      </c>
      <c r="M115" s="16" t="str">
        <f t="shared" si="69"/>
        <v>#REF!</v>
      </c>
    </row>
    <row r="116">
      <c r="B116" s="75" t="s">
        <v>149</v>
      </c>
      <c r="C116" s="76"/>
      <c r="D116" s="76"/>
      <c r="E116" s="76"/>
      <c r="F116" s="76"/>
      <c r="G116" s="76"/>
      <c r="H116" s="16" t="str">
        <f t="shared" si="68"/>
        <v>#REF!</v>
      </c>
    </row>
    <row r="117">
      <c r="B117" s="44"/>
      <c r="C117" s="44"/>
      <c r="D117" s="44"/>
      <c r="E117" s="44"/>
      <c r="H117" s="16" t="str">
        <f t="shared" si="68"/>
        <v>#REF!</v>
      </c>
      <c r="I117" s="16" t="str">
        <f t="shared" ref="I117:M117" si="70">#REF!</f>
        <v>#REF!</v>
      </c>
      <c r="J117" s="16" t="str">
        <f t="shared" si="70"/>
        <v>#REF!</v>
      </c>
      <c r="K117" s="16" t="str">
        <f t="shared" si="70"/>
        <v>#REF!</v>
      </c>
      <c r="L117" s="16" t="str">
        <f t="shared" si="70"/>
        <v>#REF!</v>
      </c>
      <c r="M117" s="16" t="str">
        <f t="shared" si="70"/>
        <v>#REF!</v>
      </c>
    </row>
    <row r="118">
      <c r="B118" s="77" t="s">
        <v>150</v>
      </c>
      <c r="C118" s="78"/>
      <c r="D118" s="78"/>
    </row>
    <row r="119">
      <c r="B119" s="10" t="s">
        <v>151</v>
      </c>
      <c r="D119" s="21">
        <v>100.0</v>
      </c>
      <c r="P119" s="1" t="s">
        <v>152</v>
      </c>
    </row>
    <row r="120">
      <c r="B120" s="10" t="s">
        <v>153</v>
      </c>
      <c r="D120" s="21">
        <v>500.0</v>
      </c>
      <c r="H120" s="79"/>
      <c r="P120" s="1" t="s">
        <v>154</v>
      </c>
    </row>
    <row r="121">
      <c r="B121" s="10" t="s">
        <v>155</v>
      </c>
      <c r="C121" s="16"/>
      <c r="D121" s="21">
        <v>150000.0</v>
      </c>
      <c r="H121" s="80"/>
    </row>
    <row r="122">
      <c r="B122" s="44"/>
      <c r="C122" s="16"/>
      <c r="H122" s="81">
        <v>0.07</v>
      </c>
    </row>
    <row r="123">
      <c r="B123" s="10" t="s">
        <v>156</v>
      </c>
      <c r="C123" s="16"/>
      <c r="D123" s="19" t="str">
        <f t="shared" ref="D123:D124" si="71">#REF!</f>
        <v>#REF!</v>
      </c>
    </row>
    <row r="124">
      <c r="B124" s="10" t="s">
        <v>157</v>
      </c>
      <c r="D124" s="19" t="str">
        <f t="shared" si="71"/>
        <v>#REF!</v>
      </c>
      <c r="H124" s="82" t="str">
        <f>#REF!+(0.01-#REF!)*2+(0.06-0.07)*3</f>
        <v>#REF!</v>
      </c>
    </row>
    <row r="125">
      <c r="B125" s="44"/>
      <c r="H125" s="82" t="str">
        <f>#REF!+(0.02-#REF!)*2+(0.06-0.07)*3</f>
        <v>#REF!</v>
      </c>
    </row>
    <row r="126">
      <c r="B126" s="77" t="s">
        <v>158</v>
      </c>
      <c r="C126" s="83"/>
      <c r="D126" s="83"/>
      <c r="E126" s="83"/>
      <c r="F126" s="78"/>
      <c r="G126" s="78"/>
      <c r="H126" s="82" t="str">
        <f>#REF!+(0.03-#REF!)*2+(0.06-0.07)*3</f>
        <v>#REF!</v>
      </c>
    </row>
    <row r="127">
      <c r="B127" s="84"/>
      <c r="C127" s="85" t="s">
        <v>159</v>
      </c>
      <c r="D127" s="85" t="s">
        <v>160</v>
      </c>
      <c r="E127" s="85" t="s">
        <v>161</v>
      </c>
      <c r="H127" s="82" t="str">
        <f>#REF!+(0.04-#REF!)*2+(0.06-0.07)*3</f>
        <v>#REF!</v>
      </c>
    </row>
    <row r="128">
      <c r="B128" s="10" t="s">
        <v>162</v>
      </c>
      <c r="C128" s="16">
        <f>D35</f>
        <v>34500</v>
      </c>
      <c r="D128" s="16" t="str">
        <f>C128+(D119*D7*12)</f>
        <v>#VALUE!</v>
      </c>
      <c r="E128" s="16" t="str">
        <f t="shared" ref="E128:E130" si="72">D128-C128</f>
        <v>#VALUE!</v>
      </c>
      <c r="H128" s="82" t="str">
        <f>#REF!+(0.05-#REF!)*2+(0.06-0.07)*3</f>
        <v>#REF!</v>
      </c>
    </row>
    <row r="129">
      <c r="B129" s="10" t="s">
        <v>163</v>
      </c>
      <c r="C129" s="16" t="str">
        <f>D71</f>
        <v>#VALUE!</v>
      </c>
      <c r="D129" s="16" t="str">
        <f>C129-(D120*D7)</f>
        <v>#VALUE!</v>
      </c>
      <c r="E129" s="16" t="str">
        <f t="shared" si="72"/>
        <v>#VALUE!</v>
      </c>
    </row>
    <row r="130">
      <c r="B130" s="68" t="s">
        <v>119</v>
      </c>
      <c r="C130" s="72" t="str">
        <f>E73</f>
        <v>#REF!</v>
      </c>
      <c r="D130" s="72" t="str">
        <f>C130+(D119*D7*12)+(D120*D7)</f>
        <v>#REF!</v>
      </c>
      <c r="E130" s="72" t="str">
        <f t="shared" si="72"/>
        <v>#REF!</v>
      </c>
    </row>
    <row r="131">
      <c r="B131" s="44"/>
      <c r="C131" s="16"/>
      <c r="D131" s="16"/>
      <c r="E131" s="16"/>
    </row>
    <row r="132">
      <c r="B132" s="77" t="s">
        <v>164</v>
      </c>
      <c r="C132" s="83"/>
      <c r="D132" s="83"/>
      <c r="E132" s="83"/>
      <c r="F132" s="78"/>
      <c r="G132" s="78"/>
    </row>
    <row r="133">
      <c r="B133" s="84"/>
      <c r="C133" s="85" t="s">
        <v>159</v>
      </c>
      <c r="D133" s="85" t="s">
        <v>160</v>
      </c>
      <c r="E133" s="85" t="s">
        <v>165</v>
      </c>
    </row>
    <row r="134">
      <c r="B134" s="10" t="s">
        <v>166</v>
      </c>
      <c r="C134" s="16" t="str">
        <f>IF(D123=0,0,C130/D123)</f>
        <v>#REF!</v>
      </c>
      <c r="D134" s="16" t="str">
        <f>IF(D123=0,0,D130/D123)</f>
        <v>#REF!</v>
      </c>
      <c r="E134" s="16" t="str">
        <f t="shared" ref="E134:E135" si="73">D134-C134</f>
        <v>#REF!</v>
      </c>
    </row>
    <row r="135">
      <c r="B135" s="10" t="s">
        <v>167</v>
      </c>
      <c r="C135" s="16" t="str">
        <f>IF(D124=0,0,C130/D124)</f>
        <v>#REF!</v>
      </c>
      <c r="D135" s="16" t="str">
        <f>IF(D124=0,0,D130/D124)</f>
        <v>#REF!</v>
      </c>
      <c r="E135" s="16" t="str">
        <f t="shared" si="73"/>
        <v>#REF!</v>
      </c>
    </row>
    <row r="136">
      <c r="B136" s="44"/>
      <c r="C136" s="44"/>
      <c r="D136" s="17"/>
      <c r="E136" s="44"/>
    </row>
    <row r="137">
      <c r="B137" s="77" t="s">
        <v>168</v>
      </c>
      <c r="C137" s="86"/>
      <c r="D137" s="87"/>
      <c r="E137" s="78"/>
      <c r="F137" s="78"/>
      <c r="G137" s="78"/>
    </row>
    <row r="138">
      <c r="B138" s="10" t="s">
        <v>169</v>
      </c>
      <c r="C138" s="16"/>
      <c r="D138" s="16">
        <f>D121</f>
        <v>150000</v>
      </c>
      <c r="E138" s="16"/>
    </row>
    <row r="139">
      <c r="B139" s="10" t="s">
        <v>170</v>
      </c>
      <c r="D139" s="16" t="str">
        <f>E130</f>
        <v>#REF!</v>
      </c>
    </row>
    <row r="140">
      <c r="B140" s="10" t="s">
        <v>171</v>
      </c>
      <c r="D140" s="16" t="str">
        <f t="shared" ref="D140:D141" si="74">E134</f>
        <v>#REF!</v>
      </c>
    </row>
    <row r="141">
      <c r="B141" s="10" t="s">
        <v>172</v>
      </c>
      <c r="D141" s="16" t="str">
        <f t="shared" si="74"/>
        <v>#REF!</v>
      </c>
    </row>
    <row r="142">
      <c r="B142" s="68" t="s">
        <v>173</v>
      </c>
      <c r="D142" s="88" t="str">
        <f>IF(D121=0,0,E134/D121)</f>
        <v>#REF!</v>
      </c>
    </row>
    <row r="143">
      <c r="B143" s="68" t="s">
        <v>174</v>
      </c>
      <c r="D143" s="88" t="str">
        <f>IF(D121=0,0,E135/D121)</f>
        <v>#REF!</v>
      </c>
    </row>
    <row r="144">
      <c r="B144" s="10" t="s">
        <v>175</v>
      </c>
      <c r="D144" s="17" t="str">
        <f>IF(D121=0,0,E130/D121)</f>
        <v>#REF!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54.5"/>
    <col customWidth="1" min="3" max="3" width="10.63"/>
    <col customWidth="1" min="4" max="4" width="14.0"/>
    <col customWidth="1" min="5" max="5" width="14.38"/>
    <col customWidth="1" min="6" max="7" width="10.38"/>
    <col customWidth="1" min="8" max="8" width="9.13"/>
    <col customWidth="1" min="9" max="9" width="9.38"/>
    <col customWidth="1" min="10" max="10" width="10.13"/>
    <col customWidth="1" min="11" max="11" width="10.88"/>
    <col customWidth="1" min="12" max="12" width="10.0"/>
  </cols>
  <sheetData>
    <row r="2">
      <c r="B2" s="89" t="s">
        <v>176</v>
      </c>
      <c r="C2" s="90"/>
      <c r="D2" s="90"/>
      <c r="E2" s="90"/>
      <c r="F2" s="90"/>
      <c r="G2" s="90"/>
    </row>
    <row r="3">
      <c r="B3" s="91" t="s">
        <v>177</v>
      </c>
      <c r="C3" s="92"/>
      <c r="D3" s="92"/>
      <c r="E3" s="92"/>
      <c r="F3" s="92"/>
      <c r="G3" s="92"/>
    </row>
    <row r="5">
      <c r="B5" s="93" t="s">
        <v>178</v>
      </c>
      <c r="C5" s="94"/>
      <c r="D5" s="94"/>
      <c r="F5" s="95" t="s">
        <v>179</v>
      </c>
      <c r="G5" s="96"/>
      <c r="H5" s="96"/>
    </row>
    <row r="6">
      <c r="B6" s="97" t="s">
        <v>180</v>
      </c>
      <c r="C6" s="98"/>
      <c r="D6" s="98"/>
      <c r="F6" s="99" t="s">
        <v>181</v>
      </c>
      <c r="G6" s="100"/>
      <c r="H6" s="100"/>
    </row>
    <row r="7">
      <c r="B7" s="101" t="s">
        <v>14</v>
      </c>
      <c r="C7" s="102" t="str">
        <f>Model!D7</f>
        <v>Model!D9</v>
      </c>
      <c r="F7" s="99" t="s">
        <v>182</v>
      </c>
      <c r="G7" s="100"/>
      <c r="H7" s="100"/>
    </row>
    <row r="8">
      <c r="B8" s="101" t="s">
        <v>19</v>
      </c>
      <c r="C8" s="102">
        <f>Model!D8</f>
        <v>7948</v>
      </c>
      <c r="F8" s="99" t="s">
        <v>183</v>
      </c>
      <c r="G8" s="100"/>
      <c r="H8" s="100"/>
    </row>
    <row r="9">
      <c r="F9" s="99" t="s">
        <v>184</v>
      </c>
      <c r="G9" s="100"/>
      <c r="H9" s="100"/>
    </row>
    <row r="10">
      <c r="B10" s="97" t="s">
        <v>185</v>
      </c>
      <c r="C10" s="98"/>
      <c r="D10" s="98"/>
      <c r="F10" s="99" t="s">
        <v>186</v>
      </c>
      <c r="G10" s="100"/>
      <c r="H10" s="100"/>
    </row>
    <row r="11">
      <c r="B11" s="101" t="s">
        <v>187</v>
      </c>
      <c r="C11" s="103">
        <v>5.0</v>
      </c>
      <c r="D11" s="104"/>
    </row>
    <row r="12">
      <c r="B12" s="101" t="s">
        <v>188</v>
      </c>
      <c r="C12" s="105">
        <v>0.05</v>
      </c>
      <c r="D12" s="104"/>
      <c r="F12" s="106" t="s">
        <v>189</v>
      </c>
    </row>
    <row r="13">
      <c r="B13" s="101" t="s">
        <v>190</v>
      </c>
      <c r="C13" s="107" t="s">
        <v>191</v>
      </c>
      <c r="D13" s="108" t="s">
        <v>192</v>
      </c>
      <c r="F13" s="109" t="s">
        <v>193</v>
      </c>
    </row>
    <row r="14">
      <c r="B14" s="101" t="s">
        <v>194</v>
      </c>
      <c r="C14" s="105">
        <v>1.0</v>
      </c>
      <c r="D14" s="104"/>
      <c r="F14" s="110" t="s">
        <v>195</v>
      </c>
    </row>
    <row r="15">
      <c r="F15" s="111" t="s">
        <v>196</v>
      </c>
    </row>
    <row r="16">
      <c r="B16" s="93" t="s">
        <v>197</v>
      </c>
      <c r="C16" s="94"/>
      <c r="D16" s="94"/>
      <c r="E16" s="94"/>
    </row>
    <row r="17">
      <c r="B17" s="112" t="s">
        <v>198</v>
      </c>
      <c r="C17" s="112" t="s">
        <v>199</v>
      </c>
      <c r="D17" s="112" t="s">
        <v>200</v>
      </c>
      <c r="E17" s="112" t="s">
        <v>201</v>
      </c>
      <c r="F17" s="108" t="s">
        <v>202</v>
      </c>
    </row>
    <row r="18">
      <c r="A18" s="25"/>
      <c r="B18" s="113" t="s">
        <v>91</v>
      </c>
      <c r="C18" s="103">
        <v>0.0</v>
      </c>
      <c r="D18" s="114">
        <f t="shared" ref="D18:D22" si="1">C18*12</f>
        <v>0</v>
      </c>
      <c r="E18" s="115" t="s">
        <v>203</v>
      </c>
    </row>
    <row r="19">
      <c r="A19" s="25"/>
      <c r="B19" s="113" t="s">
        <v>92</v>
      </c>
      <c r="C19" s="103">
        <v>0.0</v>
      </c>
      <c r="D19" s="114">
        <f t="shared" si="1"/>
        <v>0</v>
      </c>
      <c r="E19" s="115" t="s">
        <v>44</v>
      </c>
    </row>
    <row r="20">
      <c r="A20" s="25"/>
      <c r="B20" s="113" t="s">
        <v>93</v>
      </c>
      <c r="C20" s="103">
        <v>0.0</v>
      </c>
      <c r="D20" s="114">
        <f t="shared" si="1"/>
        <v>0</v>
      </c>
      <c r="E20" s="115" t="s">
        <v>203</v>
      </c>
    </row>
    <row r="21">
      <c r="A21" s="25"/>
      <c r="B21" s="113" t="s">
        <v>204</v>
      </c>
      <c r="C21" s="103">
        <v>0.0</v>
      </c>
      <c r="D21" s="114">
        <f t="shared" si="1"/>
        <v>0</v>
      </c>
      <c r="E21" s="115" t="s">
        <v>203</v>
      </c>
    </row>
    <row r="22">
      <c r="A22" s="25"/>
      <c r="B22" s="113" t="s">
        <v>205</v>
      </c>
      <c r="C22" s="103">
        <v>0.0</v>
      </c>
      <c r="D22" s="114">
        <f t="shared" si="1"/>
        <v>0</v>
      </c>
      <c r="E22" s="115" t="s">
        <v>44</v>
      </c>
    </row>
    <row r="23">
      <c r="A23" s="25"/>
      <c r="B23" s="116" t="s">
        <v>206</v>
      </c>
      <c r="C23" s="117">
        <f t="shared" ref="C23:D23" si="2">SUM(C18:C22)</f>
        <v>0</v>
      </c>
      <c r="D23" s="117">
        <f t="shared" si="2"/>
        <v>0</v>
      </c>
      <c r="E23" s="98"/>
    </row>
    <row r="25">
      <c r="B25" s="118" t="s">
        <v>207</v>
      </c>
      <c r="C25" s="119"/>
      <c r="D25" s="119"/>
    </row>
    <row r="26">
      <c r="B26" s="97" t="s">
        <v>208</v>
      </c>
      <c r="C26" s="112" t="s">
        <v>209</v>
      </c>
      <c r="D26" s="112" t="s">
        <v>66</v>
      </c>
    </row>
    <row r="27">
      <c r="B27" s="101" t="s">
        <v>210</v>
      </c>
      <c r="C27" s="120">
        <f t="shared" ref="C27:D27" si="3">C23</f>
        <v>0</v>
      </c>
      <c r="D27" s="120">
        <f t="shared" si="3"/>
        <v>0</v>
      </c>
    </row>
    <row r="28">
      <c r="B28" s="101" t="s">
        <v>211</v>
      </c>
      <c r="C28" s="120">
        <f t="shared" ref="C28:D28" si="4">IFERROR(SUM(K44:K54),0)</f>
        <v>0</v>
      </c>
      <c r="D28" s="120">
        <f t="shared" si="4"/>
        <v>0</v>
      </c>
    </row>
    <row r="29">
      <c r="B29" s="101" t="s">
        <v>212</v>
      </c>
      <c r="C29" s="120">
        <f>IFERROR(IF(C13="$/unit",C11*C7,C12*C28),0)</f>
        <v>0</v>
      </c>
      <c r="D29" s="120">
        <f>C29*12</f>
        <v>0</v>
      </c>
    </row>
    <row r="30">
      <c r="B30" s="101" t="s">
        <v>213</v>
      </c>
      <c r="C30" s="120">
        <f t="shared" ref="C30:D30" si="5">C28+C29</f>
        <v>0</v>
      </c>
      <c r="D30" s="120">
        <f t="shared" si="5"/>
        <v>0</v>
      </c>
    </row>
    <row r="31">
      <c r="B31" s="101" t="s">
        <v>214</v>
      </c>
      <c r="C31" s="120">
        <f t="shared" ref="C31:D31" si="6">C30-C27</f>
        <v>0</v>
      </c>
      <c r="D31" s="120">
        <f t="shared" si="6"/>
        <v>0</v>
      </c>
    </row>
    <row r="33">
      <c r="B33" s="97" t="s">
        <v>215</v>
      </c>
      <c r="C33" s="98"/>
      <c r="D33" s="98"/>
    </row>
    <row r="34">
      <c r="B34" s="101" t="s">
        <v>216</v>
      </c>
      <c r="C34" s="121">
        <f t="shared" ref="C34:D34" si="7">IFERROR(C31/C27,0)</f>
        <v>0</v>
      </c>
      <c r="D34" s="121">
        <f t="shared" si="7"/>
        <v>0</v>
      </c>
    </row>
    <row r="35">
      <c r="B35" s="101" t="s">
        <v>194</v>
      </c>
      <c r="C35" s="121">
        <f>C14</f>
        <v>1</v>
      </c>
      <c r="D35" s="121">
        <f>C14</f>
        <v>1</v>
      </c>
    </row>
    <row r="36">
      <c r="B36" s="101" t="s">
        <v>217</v>
      </c>
      <c r="C36" s="121">
        <f t="shared" ref="C36:D36" si="8">C34-C35</f>
        <v>-1</v>
      </c>
      <c r="D36" s="121">
        <f t="shared" si="8"/>
        <v>-1</v>
      </c>
    </row>
    <row r="37">
      <c r="B37" s="122"/>
    </row>
    <row r="38">
      <c r="B38" s="101" t="s">
        <v>218</v>
      </c>
      <c r="C38" s="120">
        <f>IFERROR(C27/C7,0)</f>
        <v>0</v>
      </c>
    </row>
    <row r="39">
      <c r="B39" s="101" t="s">
        <v>219</v>
      </c>
      <c r="C39" s="120">
        <f>IFERROR(C27/C8,0)</f>
        <v>0</v>
      </c>
    </row>
    <row r="40">
      <c r="B40" s="101" t="s">
        <v>220</v>
      </c>
      <c r="C40" s="120">
        <f>IFERROR(C31/C7,0)</f>
        <v>0</v>
      </c>
    </row>
    <row r="42">
      <c r="B42" s="93" t="s">
        <v>221</v>
      </c>
      <c r="C42" s="94"/>
      <c r="D42" s="94"/>
      <c r="E42" s="94"/>
      <c r="F42" s="94"/>
      <c r="G42" s="94"/>
      <c r="H42" s="94"/>
      <c r="I42" s="94"/>
      <c r="J42" s="94"/>
      <c r="K42" s="94"/>
      <c r="L42" s="94"/>
    </row>
    <row r="43">
      <c r="B43" s="112" t="s">
        <v>42</v>
      </c>
      <c r="C43" s="112" t="s">
        <v>43</v>
      </c>
      <c r="D43" s="112" t="s">
        <v>44</v>
      </c>
      <c r="E43" s="112" t="s">
        <v>222</v>
      </c>
      <c r="F43" s="112" t="s">
        <v>91</v>
      </c>
      <c r="G43" s="112" t="s">
        <v>223</v>
      </c>
      <c r="H43" s="112" t="s">
        <v>93</v>
      </c>
      <c r="I43" s="112" t="s">
        <v>204</v>
      </c>
      <c r="J43" s="112" t="s">
        <v>205</v>
      </c>
      <c r="K43" s="112" t="s">
        <v>224</v>
      </c>
      <c r="L43" s="112" t="s">
        <v>225</v>
      </c>
    </row>
    <row r="44">
      <c r="B44" s="123">
        <f>Model!B18</f>
        <v>8</v>
      </c>
      <c r="C44" s="123" t="str">
        <f>Model!C18</f>
        <v>studio</v>
      </c>
      <c r="D44" s="124">
        <f>Model!D18</f>
        <v>300</v>
      </c>
      <c r="E44" s="125">
        <v>2.0</v>
      </c>
      <c r="F44" s="120">
        <f t="shared" ref="F44:F54" si="9">IFERROR(IF($E$18="SF",$C$18*D44/$C$8,IF($E$18="Units",$C$18/$C$7,IF($E$18="Occupancy",$C$18*E44/SUM($E$44:$E$54),$C$18/$C$7))),0)</f>
        <v>0</v>
      </c>
      <c r="G44" s="120">
        <f t="shared" ref="G44:G54" si="10">IFERROR(IF($E$19="SF",$C$19*D44/$C$8,IF($E$19="Units",$C$19/$C$7,IF($E$19="Occupancy",$C$19*E44/SUM($E$44:$E$54),$C$19/$C$7))),0)</f>
        <v>0</v>
      </c>
      <c r="H44" s="120">
        <f t="shared" ref="H44:H54" si="11">IFERROR(IF($E$20="SF",$C$20*D44/$C$8,IF($E$20="Units",$C$20/$C$7,IF($E$20="Occupancy",$C$20*E44/SUM($E$44:$E$54),$C$20/$C$7))),0)</f>
        <v>0</v>
      </c>
      <c r="I44" s="120">
        <f t="shared" ref="I44:I54" si="12">IFERROR(IF($E$21="SF",$C$21*D44/$C$8,IF($E$21="Units",$C$21/$C$7,IF($E$21="Occupancy",$C$21*E44/SUM($E$44:$E$54),$C$21/$C$7))),0)</f>
        <v>0</v>
      </c>
      <c r="J44" s="120">
        <f t="shared" ref="J44:J54" si="13">IFERROR(IF($E$22="SF",$C$22*D44/$C$8,IF($E$22="Units",$C$22/$C$7,IF($E$22="Occupancy",$C$22*E44/SUM($E$44:$E$54),$C$22/$C$7))),0)</f>
        <v>0</v>
      </c>
      <c r="K44" s="120">
        <f t="shared" ref="K44:K54" si="14">SUM(F44:J44)</f>
        <v>0</v>
      </c>
      <c r="L44" s="120">
        <f t="shared" ref="L44:L54" si="15">K44*12</f>
        <v>0</v>
      </c>
    </row>
    <row r="45">
      <c r="B45" s="123">
        <f>Model!B19</f>
        <v>8</v>
      </c>
      <c r="C45" s="123" t="str">
        <f>Model!C19</f>
        <v>1bed/1bath</v>
      </c>
      <c r="D45" s="124">
        <f>Model!D19</f>
        <v>481</v>
      </c>
      <c r="E45" s="125">
        <v>2.0</v>
      </c>
      <c r="F45" s="120">
        <f t="shared" si="9"/>
        <v>0</v>
      </c>
      <c r="G45" s="120">
        <f t="shared" si="10"/>
        <v>0</v>
      </c>
      <c r="H45" s="120">
        <f t="shared" si="11"/>
        <v>0</v>
      </c>
      <c r="I45" s="120">
        <f t="shared" si="12"/>
        <v>0</v>
      </c>
      <c r="J45" s="120">
        <f t="shared" si="13"/>
        <v>0</v>
      </c>
      <c r="K45" s="120">
        <f t="shared" si="14"/>
        <v>0</v>
      </c>
      <c r="L45" s="120">
        <f t="shared" si="15"/>
        <v>0</v>
      </c>
    </row>
    <row r="46">
      <c r="B46" s="123">
        <f>Model!B20</f>
        <v>2</v>
      </c>
      <c r="C46" s="123" t="str">
        <f>Model!C20</f>
        <v>2b/2bath</v>
      </c>
      <c r="D46" s="124">
        <f>Model!D20</f>
        <v>853</v>
      </c>
      <c r="E46" s="125">
        <v>2.0</v>
      </c>
      <c r="F46" s="120">
        <f t="shared" si="9"/>
        <v>0</v>
      </c>
      <c r="G46" s="120">
        <f t="shared" si="10"/>
        <v>0</v>
      </c>
      <c r="H46" s="120">
        <f t="shared" si="11"/>
        <v>0</v>
      </c>
      <c r="I46" s="120">
        <f t="shared" si="12"/>
        <v>0</v>
      </c>
      <c r="J46" s="120">
        <f t="shared" si="13"/>
        <v>0</v>
      </c>
      <c r="K46" s="120">
        <f t="shared" si="14"/>
        <v>0</v>
      </c>
      <c r="L46" s="120">
        <f t="shared" si="15"/>
        <v>0</v>
      </c>
    </row>
    <row r="47">
      <c r="B47" s="123" t="str">
        <f>Model!B21</f>
        <v/>
      </c>
      <c r="C47" s="123" t="str">
        <f>Model!C21</f>
        <v/>
      </c>
      <c r="D47" s="124" t="str">
        <f>Model!D21</f>
        <v/>
      </c>
      <c r="E47" s="125">
        <v>2.0</v>
      </c>
      <c r="F47" s="120">
        <f t="shared" si="9"/>
        <v>0</v>
      </c>
      <c r="G47" s="120">
        <f t="shared" si="10"/>
        <v>0</v>
      </c>
      <c r="H47" s="120">
        <f t="shared" si="11"/>
        <v>0</v>
      </c>
      <c r="I47" s="120">
        <f t="shared" si="12"/>
        <v>0</v>
      </c>
      <c r="J47" s="120">
        <f t="shared" si="13"/>
        <v>0</v>
      </c>
      <c r="K47" s="120">
        <f t="shared" si="14"/>
        <v>0</v>
      </c>
      <c r="L47" s="120">
        <f t="shared" si="15"/>
        <v>0</v>
      </c>
    </row>
    <row r="48">
      <c r="B48" s="123" t="str">
        <f>Model!B22</f>
        <v/>
      </c>
      <c r="C48" s="123" t="str">
        <f>Model!C22</f>
        <v/>
      </c>
      <c r="D48" s="124" t="str">
        <f>Model!D22</f>
        <v/>
      </c>
      <c r="E48" s="125">
        <v>2.0</v>
      </c>
      <c r="F48" s="120">
        <f t="shared" si="9"/>
        <v>0</v>
      </c>
      <c r="G48" s="120">
        <f t="shared" si="10"/>
        <v>0</v>
      </c>
      <c r="H48" s="120">
        <f t="shared" si="11"/>
        <v>0</v>
      </c>
      <c r="I48" s="120">
        <f t="shared" si="12"/>
        <v>0</v>
      </c>
      <c r="J48" s="120">
        <f t="shared" si="13"/>
        <v>0</v>
      </c>
      <c r="K48" s="120">
        <f t="shared" si="14"/>
        <v>0</v>
      </c>
      <c r="L48" s="120">
        <f t="shared" si="15"/>
        <v>0</v>
      </c>
    </row>
    <row r="49">
      <c r="B49" s="123" t="str">
        <f>Model!B23</f>
        <v/>
      </c>
      <c r="C49" s="123" t="str">
        <f>Model!C23</f>
        <v/>
      </c>
      <c r="D49" s="124" t="str">
        <f>Model!D23</f>
        <v/>
      </c>
      <c r="E49" s="125">
        <v>2.0</v>
      </c>
      <c r="F49" s="120">
        <f t="shared" si="9"/>
        <v>0</v>
      </c>
      <c r="G49" s="120">
        <f t="shared" si="10"/>
        <v>0</v>
      </c>
      <c r="H49" s="120">
        <f t="shared" si="11"/>
        <v>0</v>
      </c>
      <c r="I49" s="120">
        <f t="shared" si="12"/>
        <v>0</v>
      </c>
      <c r="J49" s="120">
        <f t="shared" si="13"/>
        <v>0</v>
      </c>
      <c r="K49" s="120">
        <f t="shared" si="14"/>
        <v>0</v>
      </c>
      <c r="L49" s="120">
        <f t="shared" si="15"/>
        <v>0</v>
      </c>
    </row>
    <row r="50">
      <c r="B50" s="123" t="str">
        <f>Model!B24</f>
        <v/>
      </c>
      <c r="C50" s="123" t="str">
        <f>Model!C24</f>
        <v/>
      </c>
      <c r="D50" s="124" t="str">
        <f>Model!D24</f>
        <v/>
      </c>
      <c r="E50" s="125">
        <v>2.0</v>
      </c>
      <c r="F50" s="120">
        <f t="shared" si="9"/>
        <v>0</v>
      </c>
      <c r="G50" s="120">
        <f t="shared" si="10"/>
        <v>0</v>
      </c>
      <c r="H50" s="120">
        <f t="shared" si="11"/>
        <v>0</v>
      </c>
      <c r="I50" s="120">
        <f t="shared" si="12"/>
        <v>0</v>
      </c>
      <c r="J50" s="120">
        <f t="shared" si="13"/>
        <v>0</v>
      </c>
      <c r="K50" s="120">
        <f t="shared" si="14"/>
        <v>0</v>
      </c>
      <c r="L50" s="120">
        <f t="shared" si="15"/>
        <v>0</v>
      </c>
    </row>
    <row r="51">
      <c r="B51" s="123" t="str">
        <f>Model!B25</f>
        <v/>
      </c>
      <c r="C51" s="123" t="str">
        <f>Model!C25</f>
        <v/>
      </c>
      <c r="D51" s="124" t="str">
        <f>Model!D25</f>
        <v/>
      </c>
      <c r="E51" s="125">
        <v>2.0</v>
      </c>
      <c r="F51" s="120">
        <f t="shared" si="9"/>
        <v>0</v>
      </c>
      <c r="G51" s="120">
        <f t="shared" si="10"/>
        <v>0</v>
      </c>
      <c r="H51" s="120">
        <f t="shared" si="11"/>
        <v>0</v>
      </c>
      <c r="I51" s="120">
        <f t="shared" si="12"/>
        <v>0</v>
      </c>
      <c r="J51" s="120">
        <f t="shared" si="13"/>
        <v>0</v>
      </c>
      <c r="K51" s="120">
        <f t="shared" si="14"/>
        <v>0</v>
      </c>
      <c r="L51" s="120">
        <f t="shared" si="15"/>
        <v>0</v>
      </c>
    </row>
    <row r="52">
      <c r="B52" s="123" t="str">
        <f>Model!B26</f>
        <v/>
      </c>
      <c r="C52" s="123" t="str">
        <f>Model!C26</f>
        <v/>
      </c>
      <c r="D52" s="124" t="str">
        <f>Model!D26</f>
        <v/>
      </c>
      <c r="E52" s="125">
        <v>2.0</v>
      </c>
      <c r="F52" s="120">
        <f t="shared" si="9"/>
        <v>0</v>
      </c>
      <c r="G52" s="120">
        <f t="shared" si="10"/>
        <v>0</v>
      </c>
      <c r="H52" s="120">
        <f t="shared" si="11"/>
        <v>0</v>
      </c>
      <c r="I52" s="120">
        <f t="shared" si="12"/>
        <v>0</v>
      </c>
      <c r="J52" s="120">
        <f t="shared" si="13"/>
        <v>0</v>
      </c>
      <c r="K52" s="120">
        <f t="shared" si="14"/>
        <v>0</v>
      </c>
      <c r="L52" s="120">
        <f t="shared" si="15"/>
        <v>0</v>
      </c>
    </row>
    <row r="53">
      <c r="B53" s="123" t="str">
        <f>Model!B27</f>
        <v/>
      </c>
      <c r="C53" s="123" t="str">
        <f>Model!C27</f>
        <v/>
      </c>
      <c r="D53" s="124" t="str">
        <f>Model!D27</f>
        <v/>
      </c>
      <c r="E53" s="125">
        <v>2.0</v>
      </c>
      <c r="F53" s="120">
        <f t="shared" si="9"/>
        <v>0</v>
      </c>
      <c r="G53" s="120">
        <f t="shared" si="10"/>
        <v>0</v>
      </c>
      <c r="H53" s="120">
        <f t="shared" si="11"/>
        <v>0</v>
      </c>
      <c r="I53" s="120">
        <f t="shared" si="12"/>
        <v>0</v>
      </c>
      <c r="J53" s="120">
        <f t="shared" si="13"/>
        <v>0</v>
      </c>
      <c r="K53" s="120">
        <f t="shared" si="14"/>
        <v>0</v>
      </c>
      <c r="L53" s="120">
        <f t="shared" si="15"/>
        <v>0</v>
      </c>
    </row>
    <row r="54">
      <c r="B54" s="123" t="str">
        <f>Model!B28</f>
        <v/>
      </c>
      <c r="C54" s="123" t="str">
        <f>Model!C28</f>
        <v/>
      </c>
      <c r="D54" s="124" t="str">
        <f>Model!D28</f>
        <v/>
      </c>
      <c r="E54" s="125">
        <v>2.0</v>
      </c>
      <c r="F54" s="120">
        <f t="shared" si="9"/>
        <v>0</v>
      </c>
      <c r="G54" s="120">
        <f t="shared" si="10"/>
        <v>0</v>
      </c>
      <c r="H54" s="120">
        <f t="shared" si="11"/>
        <v>0</v>
      </c>
      <c r="I54" s="120">
        <f t="shared" si="12"/>
        <v>0</v>
      </c>
      <c r="J54" s="120">
        <f t="shared" si="13"/>
        <v>0</v>
      </c>
      <c r="K54" s="120">
        <f t="shared" si="14"/>
        <v>0</v>
      </c>
      <c r="L54" s="120">
        <f t="shared" si="15"/>
        <v>0</v>
      </c>
    </row>
    <row r="55">
      <c r="B55" s="97" t="s">
        <v>59</v>
      </c>
      <c r="C55" s="98"/>
      <c r="D55" s="126">
        <f t="shared" ref="D55:L55" si="16">SUM(D44:D54)</f>
        <v>1634</v>
      </c>
      <c r="E55" s="98">
        <f t="shared" si="16"/>
        <v>22</v>
      </c>
      <c r="F55" s="117">
        <f t="shared" si="16"/>
        <v>0</v>
      </c>
      <c r="G55" s="117">
        <f t="shared" si="16"/>
        <v>0</v>
      </c>
      <c r="H55" s="117">
        <f t="shared" si="16"/>
        <v>0</v>
      </c>
      <c r="I55" s="117">
        <f t="shared" si="16"/>
        <v>0</v>
      </c>
      <c r="J55" s="117">
        <f t="shared" si="16"/>
        <v>0</v>
      </c>
      <c r="K55" s="117">
        <f t="shared" si="16"/>
        <v>0</v>
      </c>
      <c r="L55" s="117">
        <f t="shared" si="16"/>
        <v>0</v>
      </c>
    </row>
    <row r="57">
      <c r="B57" s="127" t="s">
        <v>226</v>
      </c>
      <c r="C57" s="128"/>
      <c r="D57" s="128"/>
      <c r="E57" s="128"/>
      <c r="F57" s="129" t="str">
        <f>IF(ABS(F55-C18)&lt;0.01,"✓","✗")</f>
        <v>✓</v>
      </c>
      <c r="G57" s="129" t="str">
        <f>IF(ABS(G55-C19)&lt;0.01,"✓","✗")</f>
        <v>✓</v>
      </c>
      <c r="H57" s="129" t="str">
        <f>IF(ABS(H55-C20)&lt;0.01,"✓","✗")</f>
        <v>✓</v>
      </c>
      <c r="I57" s="129" t="str">
        <f>IF(ABS(I55-C21)&lt;0.01,"✓","✗")</f>
        <v>✓</v>
      </c>
      <c r="J57" s="129" t="str">
        <f>IF(ABS(J55-C22)&lt;0.01,"✓","✗")</f>
        <v>✓</v>
      </c>
      <c r="K57" s="129" t="str">
        <f>IF(ABS(K55-C23)&lt;0.01,"✓","✗")</f>
        <v>✓</v>
      </c>
      <c r="L57" s="128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2.88"/>
    <col customWidth="1" min="3" max="4" width="6.5"/>
    <col customWidth="1" min="5" max="5" width="21.25"/>
    <col customWidth="1" min="6" max="6" width="6.5"/>
    <col customWidth="1" min="7" max="7" width="22.63"/>
    <col customWidth="1" min="8" max="8" width="6.63"/>
    <col customWidth="1" min="9" max="9" width="6.75"/>
  </cols>
  <sheetData>
    <row r="2">
      <c r="B2" s="89" t="s">
        <v>227</v>
      </c>
      <c r="C2" s="90"/>
      <c r="D2" s="90"/>
      <c r="E2" s="90"/>
      <c r="F2" s="90"/>
      <c r="G2" s="90"/>
      <c r="H2" s="90"/>
    </row>
    <row r="3">
      <c r="B3" s="91" t="s">
        <v>228</v>
      </c>
      <c r="C3" s="92"/>
      <c r="D3" s="92"/>
      <c r="E3" s="92"/>
      <c r="F3" s="92"/>
      <c r="G3" s="92"/>
      <c r="H3" s="92"/>
    </row>
    <row r="5">
      <c r="B5" s="93" t="s">
        <v>229</v>
      </c>
      <c r="C5" s="94"/>
      <c r="D5" s="94"/>
      <c r="E5" s="130" t="s">
        <v>230</v>
      </c>
      <c r="F5" s="131"/>
      <c r="G5" s="131"/>
    </row>
    <row r="6">
      <c r="B6" s="101" t="s">
        <v>136</v>
      </c>
      <c r="C6" s="132" t="str">
        <f>Model!D101</f>
        <v>#REF!</v>
      </c>
      <c r="E6" s="101" t="s">
        <v>231</v>
      </c>
      <c r="F6" s="133" t="str">
        <f>#REF!</f>
        <v>#REF!</v>
      </c>
      <c r="G6" s="108" t="s">
        <v>232</v>
      </c>
    </row>
    <row r="7">
      <c r="B7" s="101" t="s">
        <v>137</v>
      </c>
      <c r="C7" s="132" t="str">
        <f>Model!D102</f>
        <v>#REF!</v>
      </c>
    </row>
    <row r="8">
      <c r="B8" s="97" t="s">
        <v>138</v>
      </c>
      <c r="C8" s="132" t="str">
        <f>Model!D103</f>
        <v>#REF!</v>
      </c>
      <c r="E8" s="134" t="s">
        <v>233</v>
      </c>
    </row>
    <row r="9">
      <c r="E9" s="101" t="s">
        <v>234</v>
      </c>
      <c r="F9" s="133" t="str">
        <f t="shared" ref="F9:F10" si="1">#REF!</f>
        <v>#REF!</v>
      </c>
    </row>
    <row r="10">
      <c r="B10" s="101" t="s">
        <v>235</v>
      </c>
      <c r="C10" s="132" t="str">
        <f>Model!D104</f>
        <v>#REF!</v>
      </c>
      <c r="E10" s="101" t="s">
        <v>236</v>
      </c>
      <c r="F10" s="133" t="str">
        <f t="shared" si="1"/>
        <v>#REF!</v>
      </c>
    </row>
    <row r="11">
      <c r="B11" s="101" t="s">
        <v>237</v>
      </c>
      <c r="C11" s="132" t="str">
        <f>Model!D105</f>
        <v>#REF!</v>
      </c>
    </row>
    <row r="12">
      <c r="B12" s="101" t="s">
        <v>238</v>
      </c>
      <c r="C12" s="121"/>
      <c r="E12" s="134" t="s">
        <v>239</v>
      </c>
    </row>
    <row r="13">
      <c r="B13" s="101" t="s">
        <v>240</v>
      </c>
      <c r="C13" s="121">
        <f>IFERROR(C11/C8,0)</f>
        <v>0</v>
      </c>
      <c r="E13" s="101" t="s">
        <v>234</v>
      </c>
      <c r="F13" s="133" t="str">
        <f t="shared" ref="F13:F14" si="2">#REF!</f>
        <v>#REF!</v>
      </c>
    </row>
    <row r="14">
      <c r="E14" s="101" t="s">
        <v>241</v>
      </c>
      <c r="F14" s="133" t="str">
        <f t="shared" si="2"/>
        <v>#REF!</v>
      </c>
    </row>
    <row r="15">
      <c r="B15" s="130" t="s">
        <v>242</v>
      </c>
      <c r="C15" s="131"/>
      <c r="D15" s="131"/>
      <c r="E15" s="131"/>
      <c r="F15" s="131"/>
      <c r="G15" s="131"/>
    </row>
    <row r="16">
      <c r="B16" s="101" t="s">
        <v>157</v>
      </c>
      <c r="C16" s="135" t="str">
        <f>#REF!</f>
        <v>#REF!</v>
      </c>
      <c r="E16" s="101" t="s">
        <v>131</v>
      </c>
      <c r="F16" s="136">
        <f>IFERROR(C17/C16,0)</f>
        <v>0</v>
      </c>
    </row>
    <row r="17">
      <c r="B17" s="101" t="s">
        <v>243</v>
      </c>
      <c r="C17" s="132" t="str">
        <f>Model!F73</f>
        <v>#REF!</v>
      </c>
      <c r="E17" s="101" t="s">
        <v>132</v>
      </c>
      <c r="F17" s="132" t="str">
        <f>Model!D96</f>
        <v/>
      </c>
    </row>
    <row r="18">
      <c r="B18" s="101" t="s">
        <v>244</v>
      </c>
      <c r="C18" s="137">
        <v>5.0</v>
      </c>
      <c r="D18" s="108" t="s">
        <v>245</v>
      </c>
      <c r="E18" s="101" t="s">
        <v>133</v>
      </c>
      <c r="F18" s="132" t="str">
        <f>Model!D97</f>
        <v/>
      </c>
    </row>
    <row r="19">
      <c r="E19" s="134" t="s">
        <v>134</v>
      </c>
      <c r="F19" s="138">
        <f>IFERROR(F16-F17-F18,0)</f>
        <v>0</v>
      </c>
    </row>
    <row r="21">
      <c r="B21" s="118" t="s">
        <v>246</v>
      </c>
      <c r="C21" s="119"/>
      <c r="D21" s="119"/>
      <c r="E21" s="119"/>
      <c r="F21" s="119"/>
      <c r="G21" s="119"/>
      <c r="H21" s="119"/>
      <c r="I21" s="119"/>
    </row>
    <row r="22">
      <c r="B22" s="139"/>
      <c r="C22" s="112" t="s">
        <v>67</v>
      </c>
      <c r="D22" s="112" t="s">
        <v>68</v>
      </c>
      <c r="E22" s="112" t="s">
        <v>69</v>
      </c>
      <c r="F22" s="112" t="s">
        <v>70</v>
      </c>
      <c r="G22" s="112" t="s">
        <v>71</v>
      </c>
      <c r="H22" s="112" t="s">
        <v>247</v>
      </c>
      <c r="I22" s="112" t="s">
        <v>248</v>
      </c>
    </row>
    <row r="23">
      <c r="B23" s="140" t="s">
        <v>249</v>
      </c>
      <c r="C23" s="141" t="str">
        <f t="shared" ref="C23:G23" si="3">#REF!</f>
        <v>#REF!</v>
      </c>
      <c r="D23" s="141" t="str">
        <f t="shared" si="3"/>
        <v>#REF!</v>
      </c>
      <c r="E23" s="141" t="str">
        <f t="shared" si="3"/>
        <v>#REF!</v>
      </c>
      <c r="F23" s="141" t="str">
        <f t="shared" si="3"/>
        <v>#REF!</v>
      </c>
      <c r="G23" s="141" t="str">
        <f t="shared" si="3"/>
        <v>#REF!</v>
      </c>
      <c r="H23" s="141">
        <f>F19</f>
        <v>0</v>
      </c>
      <c r="I23" s="141" t="str">
        <f>SUM(C23:H23)</f>
        <v>#REF!</v>
      </c>
    </row>
    <row r="25">
      <c r="B25" s="101" t="s">
        <v>250</v>
      </c>
      <c r="C25" s="142">
        <f t="shared" ref="C25:G25" si="4">IFERROR($C$10*$F$6,0)</f>
        <v>0</v>
      </c>
      <c r="D25" s="142">
        <f t="shared" si="4"/>
        <v>0</v>
      </c>
      <c r="E25" s="142">
        <f t="shared" si="4"/>
        <v>0</v>
      </c>
      <c r="F25" s="142">
        <f t="shared" si="4"/>
        <v>0</v>
      </c>
      <c r="G25" s="142">
        <f t="shared" si="4"/>
        <v>0</v>
      </c>
      <c r="H25" s="142"/>
      <c r="I25" s="142">
        <f>SUM(C25:G25)</f>
        <v>0</v>
      </c>
    </row>
    <row r="26">
      <c r="B26" s="101" t="s">
        <v>251</v>
      </c>
      <c r="C26" s="143" t="str">
        <f t="shared" ref="C26:G26" si="5">#REF!</f>
        <v>#REF!</v>
      </c>
      <c r="D26" s="143" t="str">
        <f t="shared" si="5"/>
        <v>#REF!</v>
      </c>
      <c r="E26" s="143" t="str">
        <f t="shared" si="5"/>
        <v>#REF!</v>
      </c>
      <c r="F26" s="143" t="str">
        <f t="shared" si="5"/>
        <v>#REF!</v>
      </c>
      <c r="G26" s="143" t="str">
        <f t="shared" si="5"/>
        <v>#REF!</v>
      </c>
      <c r="H26" s="143">
        <f>IFERROR(H23*$F$13,0)</f>
        <v>0</v>
      </c>
      <c r="I26" s="143" t="str">
        <f t="shared" ref="I26:I27" si="7">SUM(C26:H26)</f>
        <v>#REF!</v>
      </c>
    </row>
    <row r="27">
      <c r="B27" s="101" t="s">
        <v>252</v>
      </c>
      <c r="C27" s="144" t="str">
        <f t="shared" ref="C27:G27" si="6">#REF!</f>
        <v>#REF!</v>
      </c>
      <c r="D27" s="144" t="str">
        <f t="shared" si="6"/>
        <v>#REF!</v>
      </c>
      <c r="E27" s="144" t="str">
        <f t="shared" si="6"/>
        <v>#REF!</v>
      </c>
      <c r="F27" s="144" t="str">
        <f t="shared" si="6"/>
        <v>#REF!</v>
      </c>
      <c r="G27" s="144" t="str">
        <f t="shared" si="6"/>
        <v>#REF!</v>
      </c>
      <c r="H27" s="144">
        <f>IFERROR(H23*$F$14,0)</f>
        <v>0</v>
      </c>
      <c r="I27" s="144" t="str">
        <f t="shared" si="7"/>
        <v>#REF!</v>
      </c>
    </row>
    <row r="29">
      <c r="B29" s="145" t="s">
        <v>253</v>
      </c>
      <c r="C29" s="146" t="str">
        <f t="shared" ref="C29:I29" si="8">C23-C26-C27</f>
        <v>#REF!</v>
      </c>
      <c r="D29" s="146" t="str">
        <f t="shared" si="8"/>
        <v>#REF!</v>
      </c>
      <c r="E29" s="146" t="str">
        <f t="shared" si="8"/>
        <v>#REF!</v>
      </c>
      <c r="F29" s="146" t="str">
        <f t="shared" si="8"/>
        <v>#REF!</v>
      </c>
      <c r="G29" s="146" t="str">
        <f t="shared" si="8"/>
        <v>#REF!</v>
      </c>
      <c r="H29" s="146">
        <f t="shared" si="8"/>
        <v>0</v>
      </c>
      <c r="I29" s="146" t="str">
        <f t="shared" si="8"/>
        <v>#REF!</v>
      </c>
    </row>
    <row r="31">
      <c r="B31" s="118" t="s">
        <v>254</v>
      </c>
      <c r="C31" s="119"/>
      <c r="D31" s="119"/>
      <c r="E31" s="119"/>
      <c r="G31" s="93" t="s">
        <v>255</v>
      </c>
      <c r="H31" s="94"/>
      <c r="I31" s="94"/>
    </row>
    <row r="32">
      <c r="B32" s="112" t="s">
        <v>256</v>
      </c>
      <c r="C32" s="112" t="s">
        <v>257</v>
      </c>
      <c r="D32" s="112" t="s">
        <v>258</v>
      </c>
      <c r="E32" s="112" t="s">
        <v>248</v>
      </c>
      <c r="G32" s="112" t="s">
        <v>259</v>
      </c>
      <c r="H32" s="112" t="s">
        <v>10</v>
      </c>
      <c r="I32" s="139"/>
    </row>
    <row r="33">
      <c r="B33" s="101" t="s">
        <v>142</v>
      </c>
      <c r="C33" s="132" t="str">
        <f>C10</f>
        <v>#REF!</v>
      </c>
      <c r="D33" s="132" t="str">
        <f>C11</f>
        <v>#REF!</v>
      </c>
      <c r="E33" s="132" t="str">
        <f>C8</f>
        <v>#REF!</v>
      </c>
      <c r="G33" s="101" t="s">
        <v>142</v>
      </c>
      <c r="H33" s="136" t="str">
        <f>-C10</f>
        <v>#REF!</v>
      </c>
      <c r="I33" s="108" t="s">
        <v>260</v>
      </c>
    </row>
    <row r="34">
      <c r="B34" s="101" t="s">
        <v>261</v>
      </c>
      <c r="C34" s="136" t="str">
        <f>I26</f>
        <v>#REF!</v>
      </c>
      <c r="D34" s="136" t="str">
        <f>I27</f>
        <v>#REF!</v>
      </c>
      <c r="E34" s="136" t="str">
        <f>I23</f>
        <v>#REF!</v>
      </c>
      <c r="G34" s="101" t="s">
        <v>262</v>
      </c>
      <c r="H34" s="136" t="str">
        <f>C26</f>
        <v>#REF!</v>
      </c>
      <c r="I34" s="108" t="s">
        <v>263</v>
      </c>
    </row>
    <row r="35">
      <c r="B35" s="101" t="s">
        <v>264</v>
      </c>
      <c r="C35" s="147" t="str">
        <f t="shared" ref="C35:E35" si="9">C34-C33</f>
        <v>#REF!</v>
      </c>
      <c r="D35" s="147" t="str">
        <f t="shared" si="9"/>
        <v>#REF!</v>
      </c>
      <c r="E35" s="147" t="str">
        <f t="shared" si="9"/>
        <v>#REF!</v>
      </c>
      <c r="G35" s="101" t="s">
        <v>265</v>
      </c>
      <c r="H35" s="136" t="str">
        <f>D26</f>
        <v>#REF!</v>
      </c>
      <c r="I35" s="108" t="s">
        <v>263</v>
      </c>
    </row>
    <row r="36">
      <c r="B36" s="101" t="s">
        <v>266</v>
      </c>
      <c r="C36" s="148">
        <f t="shared" ref="C36:E36" si="10">IFERROR(C34/C33,0)</f>
        <v>0</v>
      </c>
      <c r="D36" s="148">
        <f t="shared" si="10"/>
        <v>0</v>
      </c>
      <c r="E36" s="148">
        <f t="shared" si="10"/>
        <v>0</v>
      </c>
      <c r="G36" s="101" t="s">
        <v>267</v>
      </c>
      <c r="H36" s="136" t="str">
        <f>E26</f>
        <v>#REF!</v>
      </c>
      <c r="I36" s="108" t="s">
        <v>263</v>
      </c>
    </row>
    <row r="37">
      <c r="B37" s="101" t="s">
        <v>268</v>
      </c>
      <c r="C37" s="121">
        <f>IFERROR(C26/C33,0)</f>
        <v>0</v>
      </c>
      <c r="D37" s="121">
        <f>IFERROR(C27/D33,0)</f>
        <v>0</v>
      </c>
      <c r="E37" s="121">
        <f>IFERROR(C23/E33,0)</f>
        <v>0</v>
      </c>
      <c r="G37" s="101" t="s">
        <v>269</v>
      </c>
      <c r="H37" s="136" t="str">
        <f>F26</f>
        <v>#REF!</v>
      </c>
      <c r="I37" s="108" t="s">
        <v>263</v>
      </c>
    </row>
    <row r="38">
      <c r="B38" s="122"/>
      <c r="G38" s="101" t="s">
        <v>270</v>
      </c>
      <c r="H38" s="136" t="str">
        <f>G26</f>
        <v>#REF!</v>
      </c>
      <c r="I38" s="108" t="s">
        <v>263</v>
      </c>
    </row>
    <row r="39">
      <c r="B39" s="101" t="s">
        <v>271</v>
      </c>
      <c r="C39" s="149" t="str">
        <f>Model!C114</f>
        <v/>
      </c>
      <c r="D39" s="149" t="str">
        <f>Model!D114</f>
        <v/>
      </c>
      <c r="E39" s="149" t="str">
        <f>Model!E114</f>
        <v/>
      </c>
      <c r="G39" s="101" t="s">
        <v>272</v>
      </c>
      <c r="H39" s="136">
        <f>H26</f>
        <v>0</v>
      </c>
      <c r="I39" s="108" t="s">
        <v>263</v>
      </c>
    </row>
    <row r="40">
      <c r="G40" s="150" t="s">
        <v>273</v>
      </c>
      <c r="H40" s="147" t="str">
        <f>SUM(H33:H39)</f>
        <v>#REF!</v>
      </c>
      <c r="I40" s="104"/>
    </row>
    <row r="42">
      <c r="B42" s="106" t="s">
        <v>189</v>
      </c>
      <c r="D42" s="108" t="s">
        <v>274</v>
      </c>
    </row>
    <row r="43">
      <c r="B43" s="110" t="s">
        <v>275</v>
      </c>
    </row>
    <row r="44">
      <c r="B44" s="109" t="s">
        <v>193</v>
      </c>
    </row>
    <row r="45">
      <c r="B45" s="111" t="s">
        <v>196</v>
      </c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0"/>
    <col customWidth="1" min="2" max="2" width="55.63"/>
    <col customWidth="1" min="3" max="3" width="24.63"/>
    <col customWidth="1" min="4" max="4" width="14.88"/>
    <col customWidth="1" min="5" max="5" width="17.75"/>
    <col customWidth="1" min="6" max="6" width="11.5"/>
    <col customWidth="1" min="7" max="7" width="24.5"/>
  </cols>
  <sheetData>
    <row r="2">
      <c r="B2" s="2" t="s">
        <v>276</v>
      </c>
      <c r="C2" s="3"/>
      <c r="D2" s="3"/>
      <c r="E2" s="3"/>
      <c r="F2" s="3"/>
      <c r="G2" s="3"/>
    </row>
    <row r="3">
      <c r="B3" s="4" t="s">
        <v>277</v>
      </c>
    </row>
    <row r="5">
      <c r="B5" s="5" t="s">
        <v>179</v>
      </c>
      <c r="C5" s="6"/>
      <c r="D5" s="6"/>
      <c r="E5" s="6"/>
      <c r="F5" s="6"/>
      <c r="G5" s="6"/>
    </row>
    <row r="6">
      <c r="B6" s="151" t="s">
        <v>278</v>
      </c>
    </row>
    <row r="7">
      <c r="B7" s="151" t="s">
        <v>279</v>
      </c>
    </row>
    <row r="8">
      <c r="B8" s="151" t="s">
        <v>280</v>
      </c>
    </row>
    <row r="10">
      <c r="B10" s="26" t="s">
        <v>281</v>
      </c>
      <c r="C10" s="26" t="s">
        <v>282</v>
      </c>
      <c r="D10" s="26" t="s">
        <v>283</v>
      </c>
      <c r="E10" s="26" t="s">
        <v>284</v>
      </c>
      <c r="F10" s="26" t="s">
        <v>285</v>
      </c>
      <c r="G10" s="26" t="s">
        <v>286</v>
      </c>
    </row>
    <row r="12">
      <c r="B12" s="152" t="s">
        <v>287</v>
      </c>
      <c r="C12" s="153"/>
      <c r="D12" s="153"/>
      <c r="E12" s="153"/>
      <c r="F12" s="153"/>
      <c r="G12" s="153"/>
    </row>
    <row r="13">
      <c r="B13" s="10" t="s">
        <v>7</v>
      </c>
      <c r="C13" s="154"/>
      <c r="D13" s="1" t="s">
        <v>288</v>
      </c>
      <c r="E13" s="155" t="s">
        <v>289</v>
      </c>
      <c r="F13" s="1" t="s">
        <v>290</v>
      </c>
    </row>
    <row r="14">
      <c r="B14" s="10" t="s">
        <v>291</v>
      </c>
      <c r="C14" s="154"/>
      <c r="D14" s="1" t="s">
        <v>288</v>
      </c>
      <c r="E14" s="155" t="s">
        <v>292</v>
      </c>
      <c r="F14" s="1" t="s">
        <v>290</v>
      </c>
      <c r="G14" s="1" t="s">
        <v>293</v>
      </c>
    </row>
    <row r="15">
      <c r="B15" s="10" t="s">
        <v>14</v>
      </c>
      <c r="C15" s="154"/>
      <c r="D15" s="1" t="s">
        <v>294</v>
      </c>
      <c r="E15" s="155" t="s">
        <v>295</v>
      </c>
      <c r="F15" s="1" t="s">
        <v>290</v>
      </c>
      <c r="G15" s="1" t="s">
        <v>296</v>
      </c>
    </row>
    <row r="16">
      <c r="B16" s="10" t="s">
        <v>297</v>
      </c>
      <c r="C16" s="154"/>
      <c r="D16" s="1" t="s">
        <v>294</v>
      </c>
      <c r="E16" s="155" t="s">
        <v>298</v>
      </c>
      <c r="F16" s="1" t="s">
        <v>290</v>
      </c>
      <c r="G16" s="1" t="s">
        <v>299</v>
      </c>
    </row>
    <row r="17">
      <c r="B17" s="10" t="s">
        <v>300</v>
      </c>
      <c r="C17" s="156"/>
      <c r="D17" s="1" t="s">
        <v>294</v>
      </c>
      <c r="E17" s="155" t="s">
        <v>301</v>
      </c>
      <c r="F17" s="1" t="s">
        <v>302</v>
      </c>
    </row>
    <row r="18">
      <c r="B18" s="10" t="s">
        <v>303</v>
      </c>
      <c r="C18" s="156"/>
      <c r="D18" s="1" t="s">
        <v>294</v>
      </c>
      <c r="E18" s="155" t="s">
        <v>304</v>
      </c>
      <c r="F18" s="1" t="s">
        <v>305</v>
      </c>
      <c r="G18" s="1" t="s">
        <v>306</v>
      </c>
    </row>
    <row r="19">
      <c r="B19" s="10" t="s">
        <v>307</v>
      </c>
      <c r="C19" s="156"/>
      <c r="D19" s="1" t="s">
        <v>288</v>
      </c>
      <c r="E19" s="155" t="s">
        <v>304</v>
      </c>
      <c r="F19" s="1" t="s">
        <v>305</v>
      </c>
      <c r="G19" s="1" t="s">
        <v>306</v>
      </c>
    </row>
    <row r="20">
      <c r="B20" s="10" t="s">
        <v>308</v>
      </c>
      <c r="C20" s="156"/>
      <c r="D20" s="1" t="s">
        <v>294</v>
      </c>
      <c r="E20" s="155" t="s">
        <v>304</v>
      </c>
      <c r="F20" s="1" t="s">
        <v>305</v>
      </c>
    </row>
    <row r="22">
      <c r="B22" s="152" t="s">
        <v>309</v>
      </c>
      <c r="C22" s="153"/>
      <c r="D22" s="153"/>
      <c r="E22" s="153"/>
      <c r="F22" s="153"/>
      <c r="G22" s="153"/>
    </row>
    <row r="23">
      <c r="B23" s="10" t="s">
        <v>310</v>
      </c>
      <c r="C23" s="154"/>
      <c r="D23" s="1" t="s">
        <v>311</v>
      </c>
      <c r="E23" s="155" t="s">
        <v>15</v>
      </c>
      <c r="F23" s="1" t="s">
        <v>290</v>
      </c>
      <c r="G23" s="1" t="s">
        <v>312</v>
      </c>
    </row>
    <row r="24">
      <c r="B24" s="10" t="s">
        <v>313</v>
      </c>
      <c r="C24" s="156"/>
      <c r="D24" s="1" t="s">
        <v>311</v>
      </c>
      <c r="E24" s="155" t="s">
        <v>304</v>
      </c>
      <c r="F24" s="1" t="s">
        <v>314</v>
      </c>
      <c r="G24" s="1" t="s">
        <v>315</v>
      </c>
    </row>
    <row r="25">
      <c r="B25" s="10" t="s">
        <v>26</v>
      </c>
      <c r="C25" s="156"/>
      <c r="D25" s="1" t="s">
        <v>311</v>
      </c>
      <c r="E25" s="155" t="s">
        <v>304</v>
      </c>
      <c r="F25" s="1" t="s">
        <v>314</v>
      </c>
      <c r="G25" s="1" t="s">
        <v>316</v>
      </c>
    </row>
    <row r="26">
      <c r="B26" s="10" t="s">
        <v>317</v>
      </c>
      <c r="C26" s="156"/>
      <c r="D26" s="1" t="s">
        <v>318</v>
      </c>
      <c r="E26" s="155" t="s">
        <v>304</v>
      </c>
      <c r="F26" s="1" t="s">
        <v>305</v>
      </c>
      <c r="G26" s="1" t="s">
        <v>319</v>
      </c>
    </row>
    <row r="27">
      <c r="B27" s="10" t="s">
        <v>320</v>
      </c>
      <c r="C27" s="156"/>
      <c r="D27" s="1" t="s">
        <v>318</v>
      </c>
      <c r="E27" s="155" t="s">
        <v>304</v>
      </c>
      <c r="F27" s="1" t="s">
        <v>305</v>
      </c>
      <c r="G27" s="1" t="s">
        <v>321</v>
      </c>
    </row>
    <row r="28">
      <c r="B28" s="10" t="s">
        <v>21</v>
      </c>
      <c r="C28" s="156"/>
      <c r="D28" s="1" t="s">
        <v>311</v>
      </c>
      <c r="E28" s="155" t="s">
        <v>322</v>
      </c>
      <c r="F28" s="1" t="s">
        <v>302</v>
      </c>
      <c r="G28" s="1" t="s">
        <v>323</v>
      </c>
    </row>
    <row r="29">
      <c r="B29" s="10" t="s">
        <v>324</v>
      </c>
      <c r="C29" s="156"/>
      <c r="D29" s="1" t="s">
        <v>311</v>
      </c>
      <c r="E29" s="155" t="s">
        <v>325</v>
      </c>
      <c r="F29" s="1" t="s">
        <v>302</v>
      </c>
    </row>
    <row r="30">
      <c r="B30" s="10" t="s">
        <v>326</v>
      </c>
      <c r="C30" s="156"/>
      <c r="D30" s="1" t="s">
        <v>311</v>
      </c>
      <c r="E30" s="155" t="s">
        <v>327</v>
      </c>
      <c r="F30" s="1" t="s">
        <v>302</v>
      </c>
      <c r="G30" s="1" t="s">
        <v>328</v>
      </c>
    </row>
    <row r="32">
      <c r="B32" s="152" t="s">
        <v>329</v>
      </c>
      <c r="C32" s="153"/>
      <c r="D32" s="153"/>
      <c r="E32" s="153"/>
      <c r="F32" s="153"/>
      <c r="G32" s="153"/>
    </row>
    <row r="33">
      <c r="B33" s="10" t="s">
        <v>330</v>
      </c>
      <c r="C33" s="154"/>
      <c r="D33" s="1" t="s">
        <v>311</v>
      </c>
      <c r="E33" s="155" t="s">
        <v>331</v>
      </c>
      <c r="F33" s="1" t="s">
        <v>332</v>
      </c>
      <c r="G33" s="1" t="s">
        <v>333</v>
      </c>
    </row>
    <row r="34">
      <c r="B34" s="10" t="s">
        <v>334</v>
      </c>
      <c r="C34" s="154"/>
      <c r="D34" s="1" t="s">
        <v>318</v>
      </c>
      <c r="E34" s="155" t="s">
        <v>335</v>
      </c>
      <c r="F34" s="1" t="s">
        <v>302</v>
      </c>
      <c r="G34" s="1" t="s">
        <v>336</v>
      </c>
    </row>
    <row r="35">
      <c r="B35" s="10" t="s">
        <v>337</v>
      </c>
      <c r="C35" s="156"/>
      <c r="D35" s="1" t="s">
        <v>311</v>
      </c>
      <c r="E35" s="155" t="s">
        <v>338</v>
      </c>
      <c r="F35" s="1" t="s">
        <v>332</v>
      </c>
      <c r="G35" s="1" t="s">
        <v>339</v>
      </c>
    </row>
    <row r="36">
      <c r="B36" s="10" t="s">
        <v>340</v>
      </c>
      <c r="C36" s="156"/>
      <c r="D36" s="1" t="s">
        <v>311</v>
      </c>
      <c r="E36" s="155" t="s">
        <v>304</v>
      </c>
      <c r="F36" s="1" t="s">
        <v>305</v>
      </c>
      <c r="G36" s="1" t="s">
        <v>341</v>
      </c>
    </row>
    <row r="37">
      <c r="B37" s="10" t="s">
        <v>342</v>
      </c>
      <c r="C37" s="156"/>
      <c r="D37" s="1" t="s">
        <v>318</v>
      </c>
      <c r="E37" s="155" t="s">
        <v>343</v>
      </c>
      <c r="F37" s="1" t="s">
        <v>302</v>
      </c>
    </row>
    <row r="38">
      <c r="B38" s="10" t="s">
        <v>344</v>
      </c>
      <c r="C38" s="156"/>
      <c r="D38" s="1" t="s">
        <v>311</v>
      </c>
      <c r="E38" s="155" t="s">
        <v>345</v>
      </c>
      <c r="F38" s="1" t="s">
        <v>332</v>
      </c>
      <c r="G38" s="1" t="s">
        <v>346</v>
      </c>
    </row>
    <row r="39">
      <c r="B39" s="10" t="s">
        <v>347</v>
      </c>
      <c r="C39" s="156"/>
      <c r="D39" s="1" t="s">
        <v>311</v>
      </c>
      <c r="E39" s="155" t="s">
        <v>348</v>
      </c>
      <c r="F39" s="1" t="s">
        <v>332</v>
      </c>
      <c r="G39" s="1" t="s">
        <v>346</v>
      </c>
    </row>
    <row r="40">
      <c r="B40" s="10" t="s">
        <v>349</v>
      </c>
      <c r="C40" s="156"/>
      <c r="D40" s="1" t="s">
        <v>311</v>
      </c>
      <c r="E40" s="155" t="s">
        <v>350</v>
      </c>
      <c r="F40" s="1" t="s">
        <v>332</v>
      </c>
      <c r="G40" s="1" t="s">
        <v>346</v>
      </c>
    </row>
    <row r="41">
      <c r="B41" s="10" t="s">
        <v>351</v>
      </c>
      <c r="C41" s="156"/>
      <c r="D41" s="1" t="s">
        <v>311</v>
      </c>
      <c r="E41" s="155" t="s">
        <v>352</v>
      </c>
      <c r="F41" s="1" t="s">
        <v>332</v>
      </c>
      <c r="G41" s="1" t="s">
        <v>353</v>
      </c>
    </row>
    <row r="42">
      <c r="B42" s="10" t="s">
        <v>354</v>
      </c>
      <c r="C42" s="156"/>
      <c r="D42" s="1" t="s">
        <v>311</v>
      </c>
      <c r="E42" s="155" t="s">
        <v>355</v>
      </c>
      <c r="F42" s="1" t="s">
        <v>332</v>
      </c>
      <c r="G42" s="1" t="s">
        <v>356</v>
      </c>
    </row>
    <row r="44">
      <c r="B44" s="157" t="s">
        <v>357</v>
      </c>
      <c r="C44" s="79"/>
      <c r="D44" s="79"/>
      <c r="E44" s="79"/>
      <c r="F44" s="79"/>
      <c r="G44" s="79"/>
    </row>
    <row r="45">
      <c r="B45" s="63" t="s">
        <v>89</v>
      </c>
      <c r="C45" s="154"/>
      <c r="D45" s="1" t="s">
        <v>311</v>
      </c>
      <c r="E45" s="155" t="s">
        <v>358</v>
      </c>
      <c r="F45" s="1" t="s">
        <v>359</v>
      </c>
      <c r="G45" s="1" t="s">
        <v>360</v>
      </c>
    </row>
    <row r="46">
      <c r="B46" s="63" t="s">
        <v>90</v>
      </c>
      <c r="C46" s="154"/>
      <c r="D46" s="1" t="s">
        <v>311</v>
      </c>
      <c r="E46" s="155" t="s">
        <v>361</v>
      </c>
      <c r="F46" s="1" t="s">
        <v>359</v>
      </c>
      <c r="G46" s="1" t="s">
        <v>360</v>
      </c>
    </row>
    <row r="47">
      <c r="B47" s="63" t="s">
        <v>91</v>
      </c>
      <c r="C47" s="156"/>
      <c r="D47" s="1" t="s">
        <v>311</v>
      </c>
      <c r="E47" s="155" t="s">
        <v>362</v>
      </c>
      <c r="F47" s="1" t="s">
        <v>359</v>
      </c>
      <c r="G47" s="1" t="s">
        <v>363</v>
      </c>
    </row>
    <row r="48">
      <c r="B48" s="63" t="s">
        <v>364</v>
      </c>
      <c r="C48" s="156"/>
      <c r="D48" s="1" t="s">
        <v>311</v>
      </c>
      <c r="E48" s="155" t="s">
        <v>365</v>
      </c>
      <c r="F48" s="1" t="s">
        <v>359</v>
      </c>
    </row>
    <row r="49">
      <c r="B49" s="63" t="s">
        <v>93</v>
      </c>
      <c r="C49" s="156"/>
      <c r="D49" s="1" t="s">
        <v>311</v>
      </c>
      <c r="E49" s="155" t="s">
        <v>366</v>
      </c>
      <c r="F49" s="1" t="s">
        <v>359</v>
      </c>
      <c r="G49" s="1" t="s">
        <v>363</v>
      </c>
    </row>
    <row r="50">
      <c r="B50" s="63" t="s">
        <v>94</v>
      </c>
      <c r="C50" s="156"/>
      <c r="D50" s="1" t="s">
        <v>311</v>
      </c>
      <c r="E50" s="155" t="s">
        <v>367</v>
      </c>
      <c r="F50" s="1" t="s">
        <v>359</v>
      </c>
      <c r="G50" s="1" t="s">
        <v>363</v>
      </c>
    </row>
    <row r="51">
      <c r="B51" s="63" t="s">
        <v>95</v>
      </c>
      <c r="C51" s="156"/>
      <c r="D51" s="1" t="s">
        <v>311</v>
      </c>
      <c r="E51" s="155" t="s">
        <v>368</v>
      </c>
      <c r="F51" s="1" t="s">
        <v>359</v>
      </c>
    </row>
    <row r="52">
      <c r="B52" s="63" t="s">
        <v>96</v>
      </c>
      <c r="C52" s="156"/>
      <c r="D52" s="1" t="s">
        <v>311</v>
      </c>
      <c r="E52" s="155" t="s">
        <v>369</v>
      </c>
      <c r="F52" s="1" t="s">
        <v>359</v>
      </c>
    </row>
    <row r="53">
      <c r="B53" s="63" t="s">
        <v>98</v>
      </c>
      <c r="C53" s="156"/>
      <c r="D53" s="1" t="s">
        <v>311</v>
      </c>
      <c r="E53" s="155" t="s">
        <v>370</v>
      </c>
      <c r="F53" s="1" t="s">
        <v>359</v>
      </c>
    </row>
    <row r="54">
      <c r="B54" s="63" t="s">
        <v>99</v>
      </c>
      <c r="C54" s="156"/>
      <c r="D54" s="1" t="s">
        <v>311</v>
      </c>
      <c r="E54" s="155" t="s">
        <v>371</v>
      </c>
      <c r="F54" s="1" t="s">
        <v>359</v>
      </c>
      <c r="G54" s="1" t="s">
        <v>372</v>
      </c>
    </row>
    <row r="55">
      <c r="B55" s="63" t="s">
        <v>373</v>
      </c>
      <c r="C55" s="156"/>
      <c r="D55" s="1" t="s">
        <v>311</v>
      </c>
      <c r="E55" s="155" t="s">
        <v>374</v>
      </c>
      <c r="F55" s="1" t="s">
        <v>359</v>
      </c>
    </row>
    <row r="56">
      <c r="B56" s="63" t="s">
        <v>375</v>
      </c>
      <c r="C56" s="156"/>
      <c r="D56" s="1" t="s">
        <v>318</v>
      </c>
      <c r="E56" s="155" t="s">
        <v>376</v>
      </c>
      <c r="F56" s="1" t="s">
        <v>302</v>
      </c>
      <c r="G56" s="1" t="s">
        <v>377</v>
      </c>
    </row>
    <row r="57">
      <c r="B57" s="63" t="s">
        <v>102</v>
      </c>
      <c r="C57" s="156"/>
      <c r="D57" s="1" t="s">
        <v>311</v>
      </c>
      <c r="E57" s="155" t="s">
        <v>378</v>
      </c>
      <c r="F57" s="1" t="s">
        <v>359</v>
      </c>
      <c r="G57" s="1" t="s">
        <v>372</v>
      </c>
    </row>
    <row r="58">
      <c r="B58" s="63" t="s">
        <v>379</v>
      </c>
      <c r="C58" s="156"/>
      <c r="D58" s="1" t="s">
        <v>311</v>
      </c>
      <c r="E58" s="155" t="s">
        <v>380</v>
      </c>
      <c r="F58" s="1" t="s">
        <v>359</v>
      </c>
    </row>
    <row r="59">
      <c r="B59" s="63" t="s">
        <v>104</v>
      </c>
      <c r="C59" s="156"/>
      <c r="D59" s="1" t="s">
        <v>311</v>
      </c>
      <c r="E59" s="155" t="s">
        <v>381</v>
      </c>
      <c r="F59" s="1" t="s">
        <v>359</v>
      </c>
    </row>
    <row r="60">
      <c r="B60" s="63" t="s">
        <v>105</v>
      </c>
      <c r="C60" s="156"/>
      <c r="D60" s="1" t="s">
        <v>311</v>
      </c>
      <c r="E60" s="155" t="s">
        <v>382</v>
      </c>
      <c r="F60" s="1" t="s">
        <v>359</v>
      </c>
    </row>
    <row r="61">
      <c r="B61" s="63" t="s">
        <v>383</v>
      </c>
      <c r="C61" s="156"/>
      <c r="D61" s="1" t="s">
        <v>311</v>
      </c>
      <c r="E61" s="155" t="s">
        <v>384</v>
      </c>
      <c r="F61" s="1" t="s">
        <v>359</v>
      </c>
    </row>
    <row r="62">
      <c r="B62" s="63" t="s">
        <v>107</v>
      </c>
      <c r="C62" s="156"/>
      <c r="D62" s="1" t="s">
        <v>311</v>
      </c>
      <c r="E62" s="155" t="s">
        <v>385</v>
      </c>
      <c r="F62" s="1" t="s">
        <v>359</v>
      </c>
    </row>
    <row r="63">
      <c r="B63" s="63" t="s">
        <v>108</v>
      </c>
      <c r="C63" s="156"/>
      <c r="D63" s="1" t="s">
        <v>311</v>
      </c>
      <c r="E63" s="155" t="s">
        <v>386</v>
      </c>
      <c r="F63" s="1" t="s">
        <v>359</v>
      </c>
    </row>
    <row r="64">
      <c r="B64" s="63" t="s">
        <v>387</v>
      </c>
      <c r="C64" s="156"/>
      <c r="D64" s="1" t="s">
        <v>311</v>
      </c>
      <c r="E64" s="155" t="s">
        <v>304</v>
      </c>
      <c r="F64" s="1" t="s">
        <v>314</v>
      </c>
      <c r="G64" s="1" t="s">
        <v>388</v>
      </c>
    </row>
    <row r="65">
      <c r="B65" s="63" t="s">
        <v>389</v>
      </c>
      <c r="C65" s="156"/>
      <c r="D65" s="1" t="s">
        <v>311</v>
      </c>
      <c r="E65" s="155" t="s">
        <v>304</v>
      </c>
      <c r="F65" s="1" t="s">
        <v>305</v>
      </c>
      <c r="G65" s="1" t="s">
        <v>390</v>
      </c>
    </row>
    <row r="67">
      <c r="B67" s="152" t="s">
        <v>391</v>
      </c>
      <c r="C67" s="153"/>
      <c r="D67" s="153"/>
      <c r="E67" s="153"/>
      <c r="F67" s="153"/>
      <c r="G67" s="153"/>
    </row>
    <row r="68">
      <c r="B68" s="10" t="s">
        <v>392</v>
      </c>
      <c r="C68" s="156"/>
      <c r="D68" s="1" t="s">
        <v>288</v>
      </c>
      <c r="E68" s="155" t="s">
        <v>393</v>
      </c>
      <c r="F68" s="1" t="s">
        <v>394</v>
      </c>
      <c r="G68" s="1" t="s">
        <v>395</v>
      </c>
    </row>
    <row r="69">
      <c r="B69" s="10" t="s">
        <v>396</v>
      </c>
      <c r="C69" s="156"/>
      <c r="D69" s="1" t="s">
        <v>288</v>
      </c>
      <c r="E69" s="155" t="s">
        <v>397</v>
      </c>
      <c r="F69" s="1" t="s">
        <v>394</v>
      </c>
      <c r="G69" s="1" t="s">
        <v>398</v>
      </c>
    </row>
    <row r="70">
      <c r="B70" s="10" t="s">
        <v>399</v>
      </c>
      <c r="C70" s="156"/>
      <c r="D70" s="1" t="s">
        <v>294</v>
      </c>
      <c r="E70" s="155" t="s">
        <v>400</v>
      </c>
      <c r="F70" s="1" t="s">
        <v>394</v>
      </c>
      <c r="G70" s="1" t="s">
        <v>401</v>
      </c>
    </row>
    <row r="71">
      <c r="B71" s="10" t="s">
        <v>402</v>
      </c>
      <c r="C71" s="156"/>
      <c r="D71" s="1" t="s">
        <v>288</v>
      </c>
      <c r="E71" s="155" t="s">
        <v>403</v>
      </c>
      <c r="F71" s="1" t="s">
        <v>394</v>
      </c>
      <c r="G71" s="1" t="s">
        <v>404</v>
      </c>
    </row>
    <row r="72">
      <c r="B72" s="10" t="s">
        <v>46</v>
      </c>
      <c r="C72" s="156"/>
      <c r="D72" s="1" t="s">
        <v>311</v>
      </c>
      <c r="E72" s="155" t="s">
        <v>405</v>
      </c>
      <c r="F72" s="1" t="s">
        <v>394</v>
      </c>
      <c r="G72" s="1" t="s">
        <v>406</v>
      </c>
    </row>
    <row r="73">
      <c r="B73" s="10" t="s">
        <v>47</v>
      </c>
      <c r="C73" s="156"/>
      <c r="D73" s="1" t="s">
        <v>311</v>
      </c>
      <c r="E73" s="155" t="s">
        <v>407</v>
      </c>
      <c r="F73" s="1" t="s">
        <v>394</v>
      </c>
      <c r="G73" s="1" t="s">
        <v>408</v>
      </c>
    </row>
    <row r="74">
      <c r="B74" s="10" t="s">
        <v>409</v>
      </c>
      <c r="C74" s="156"/>
      <c r="D74" s="1" t="s">
        <v>410</v>
      </c>
      <c r="E74" s="155" t="s">
        <v>411</v>
      </c>
      <c r="F74" s="1" t="s">
        <v>394</v>
      </c>
    </row>
    <row r="75">
      <c r="B75" s="10" t="s">
        <v>412</v>
      </c>
      <c r="C75" s="156"/>
      <c r="D75" s="1" t="s">
        <v>410</v>
      </c>
      <c r="E75" s="155" t="s">
        <v>413</v>
      </c>
      <c r="F75" s="1" t="s">
        <v>394</v>
      </c>
    </row>
    <row r="76">
      <c r="B76" s="10" t="s">
        <v>414</v>
      </c>
      <c r="C76" s="156"/>
      <c r="D76" s="1" t="s">
        <v>288</v>
      </c>
      <c r="E76" s="155" t="s">
        <v>415</v>
      </c>
      <c r="F76" s="1" t="s">
        <v>394</v>
      </c>
      <c r="G76" s="1" t="s">
        <v>416</v>
      </c>
    </row>
    <row r="78">
      <c r="B78" s="158" t="s">
        <v>417</v>
      </c>
      <c r="C78" s="159"/>
      <c r="D78" s="159"/>
      <c r="E78" s="159"/>
      <c r="F78" s="159"/>
      <c r="G78" s="159"/>
    </row>
    <row r="79">
      <c r="B79" s="10" t="s">
        <v>418</v>
      </c>
      <c r="C79" s="156"/>
      <c r="D79" s="1" t="s">
        <v>311</v>
      </c>
      <c r="E79" s="155" t="s">
        <v>419</v>
      </c>
      <c r="F79" s="1" t="s">
        <v>420</v>
      </c>
      <c r="G79" s="1" t="s">
        <v>421</v>
      </c>
    </row>
    <row r="80">
      <c r="B80" s="10" t="s">
        <v>422</v>
      </c>
      <c r="C80" s="156"/>
      <c r="D80" s="1" t="s">
        <v>318</v>
      </c>
      <c r="E80" s="155" t="s">
        <v>423</v>
      </c>
      <c r="F80" s="1" t="s">
        <v>420</v>
      </c>
      <c r="G80" s="1" t="s">
        <v>424</v>
      </c>
    </row>
    <row r="81">
      <c r="B81" s="10" t="s">
        <v>425</v>
      </c>
      <c r="C81" s="156"/>
      <c r="D81" s="1" t="s">
        <v>294</v>
      </c>
      <c r="E81" s="155" t="s">
        <v>426</v>
      </c>
      <c r="F81" s="1" t="s">
        <v>420</v>
      </c>
      <c r="G81" s="1" t="s">
        <v>427</v>
      </c>
    </row>
    <row r="82">
      <c r="B82" s="10" t="s">
        <v>428</v>
      </c>
      <c r="C82" s="156"/>
      <c r="D82" s="1" t="s">
        <v>311</v>
      </c>
      <c r="E82" s="155" t="s">
        <v>304</v>
      </c>
      <c r="F82" s="1" t="s">
        <v>314</v>
      </c>
      <c r="G82" s="1" t="s">
        <v>429</v>
      </c>
    </row>
    <row r="83">
      <c r="B83" s="10" t="s">
        <v>430</v>
      </c>
      <c r="C83" s="156"/>
      <c r="D83" s="1" t="s">
        <v>410</v>
      </c>
      <c r="E83" s="155" t="s">
        <v>304</v>
      </c>
      <c r="F83" s="1" t="s">
        <v>305</v>
      </c>
      <c r="G83" s="1" t="s">
        <v>431</v>
      </c>
    </row>
    <row r="84">
      <c r="B84" s="10" t="s">
        <v>432</v>
      </c>
      <c r="C84" s="156"/>
      <c r="D84" s="1" t="s">
        <v>288</v>
      </c>
      <c r="E84" s="155" t="s">
        <v>304</v>
      </c>
      <c r="F84" s="1" t="s">
        <v>305</v>
      </c>
      <c r="G84" s="1" t="s">
        <v>433</v>
      </c>
    </row>
    <row r="85">
      <c r="B85" s="10" t="s">
        <v>434</v>
      </c>
      <c r="C85" s="156"/>
      <c r="D85" s="1" t="s">
        <v>288</v>
      </c>
      <c r="E85" s="155" t="s">
        <v>304</v>
      </c>
      <c r="F85" s="1" t="s">
        <v>305</v>
      </c>
      <c r="G85" s="1" t="s">
        <v>435</v>
      </c>
    </row>
    <row r="87">
      <c r="B87" s="73" t="s">
        <v>436</v>
      </c>
      <c r="C87" s="74"/>
      <c r="D87" s="74"/>
      <c r="E87" s="74"/>
      <c r="F87" s="74"/>
      <c r="G87" s="74"/>
    </row>
    <row r="88">
      <c r="B88" s="160" t="s">
        <v>437</v>
      </c>
      <c r="C88" s="161"/>
      <c r="D88" s="1" t="s">
        <v>318</v>
      </c>
      <c r="E88" s="155" t="s">
        <v>438</v>
      </c>
      <c r="F88" s="1" t="s">
        <v>302</v>
      </c>
      <c r="G88" s="1" t="s">
        <v>439</v>
      </c>
    </row>
    <row r="89">
      <c r="B89" s="160" t="s">
        <v>440</v>
      </c>
      <c r="C89" s="161"/>
      <c r="D89" s="1" t="s">
        <v>318</v>
      </c>
      <c r="E89" s="155" t="s">
        <v>441</v>
      </c>
      <c r="F89" s="1" t="s">
        <v>302</v>
      </c>
      <c r="G89" s="1" t="s">
        <v>442</v>
      </c>
    </row>
    <row r="90">
      <c r="B90" s="160" t="s">
        <v>443</v>
      </c>
      <c r="C90" s="161"/>
      <c r="D90" s="1" t="s">
        <v>318</v>
      </c>
      <c r="E90" s="155" t="s">
        <v>444</v>
      </c>
      <c r="F90" s="1" t="s">
        <v>302</v>
      </c>
      <c r="G90" s="1" t="s">
        <v>445</v>
      </c>
    </row>
    <row r="91">
      <c r="B91" s="160" t="s">
        <v>446</v>
      </c>
      <c r="C91" s="161"/>
      <c r="D91" s="1" t="s">
        <v>318</v>
      </c>
      <c r="E91" s="155" t="s">
        <v>447</v>
      </c>
      <c r="F91" s="1" t="s">
        <v>302</v>
      </c>
      <c r="G91" s="1" t="s">
        <v>445</v>
      </c>
    </row>
    <row r="92">
      <c r="B92" s="160" t="s">
        <v>448</v>
      </c>
      <c r="C92" s="161"/>
      <c r="D92" s="1" t="s">
        <v>318</v>
      </c>
      <c r="E92" s="155" t="s">
        <v>449</v>
      </c>
      <c r="F92" s="1" t="s">
        <v>302</v>
      </c>
      <c r="G92" s="1" t="s">
        <v>450</v>
      </c>
    </row>
    <row r="93">
      <c r="B93" s="160" t="s">
        <v>451</v>
      </c>
      <c r="C93" s="161"/>
      <c r="D93" s="1" t="s">
        <v>311</v>
      </c>
      <c r="E93" s="155" t="s">
        <v>452</v>
      </c>
      <c r="F93" s="1" t="s">
        <v>302</v>
      </c>
      <c r="G93" s="1" t="s">
        <v>453</v>
      </c>
    </row>
    <row r="96">
      <c r="B96" s="162" t="s">
        <v>454</v>
      </c>
      <c r="C96" s="163"/>
      <c r="D96" s="163"/>
      <c r="E96" s="163"/>
      <c r="F96" s="163"/>
      <c r="G96" s="163"/>
    </row>
    <row r="97">
      <c r="B97" s="12" t="s">
        <v>455</v>
      </c>
      <c r="C97" s="12" t="s">
        <v>456</v>
      </c>
      <c r="D97" s="12" t="s">
        <v>455</v>
      </c>
      <c r="E97" s="12" t="s">
        <v>456</v>
      </c>
    </row>
    <row r="98">
      <c r="B98" s="10" t="s">
        <v>17</v>
      </c>
      <c r="C98" s="155" t="s">
        <v>15</v>
      </c>
      <c r="D98" s="10" t="s">
        <v>14</v>
      </c>
      <c r="E98" s="155" t="s">
        <v>295</v>
      </c>
    </row>
    <row r="99">
      <c r="B99" s="10" t="s">
        <v>30</v>
      </c>
      <c r="C99" s="155" t="s">
        <v>97</v>
      </c>
      <c r="D99" s="10" t="s">
        <v>457</v>
      </c>
      <c r="E99" s="155" t="s">
        <v>458</v>
      </c>
    </row>
    <row r="100">
      <c r="B100" s="10" t="s">
        <v>34</v>
      </c>
      <c r="C100" s="155" t="s">
        <v>38</v>
      </c>
      <c r="D100" s="10" t="s">
        <v>37</v>
      </c>
      <c r="E100" s="155" t="s">
        <v>459</v>
      </c>
    </row>
    <row r="101">
      <c r="B101" s="10" t="s">
        <v>61</v>
      </c>
      <c r="C101" s="155" t="s">
        <v>460</v>
      </c>
      <c r="D101" s="10" t="s">
        <v>138</v>
      </c>
      <c r="E101" s="155" t="s">
        <v>461</v>
      </c>
    </row>
    <row r="102">
      <c r="B102" s="10" t="s">
        <v>462</v>
      </c>
      <c r="C102" s="155" t="s">
        <v>152</v>
      </c>
      <c r="D102" s="10" t="s">
        <v>463</v>
      </c>
      <c r="E102" s="155" t="s">
        <v>464</v>
      </c>
    </row>
    <row r="103">
      <c r="B103" s="10" t="s">
        <v>465</v>
      </c>
      <c r="C103" s="155" t="s">
        <v>154</v>
      </c>
      <c r="D103" s="10" t="s">
        <v>466</v>
      </c>
      <c r="E103" s="155" t="s">
        <v>467</v>
      </c>
    </row>
    <row r="104">
      <c r="B104" s="10" t="s">
        <v>468</v>
      </c>
      <c r="C104" s="155" t="s">
        <v>469</v>
      </c>
      <c r="D104" s="10" t="s">
        <v>470</v>
      </c>
      <c r="E104" s="155" t="s">
        <v>304</v>
      </c>
    </row>
    <row r="107">
      <c r="B107" s="12" t="s">
        <v>471</v>
      </c>
      <c r="C107" s="51"/>
    </row>
    <row r="108">
      <c r="B108" s="164" t="s">
        <v>472</v>
      </c>
      <c r="C108" s="1" t="s">
        <v>473</v>
      </c>
    </row>
    <row r="109">
      <c r="B109" s="165" t="s">
        <v>474</v>
      </c>
      <c r="C109" s="1" t="s">
        <v>475</v>
      </c>
    </row>
    <row r="110">
      <c r="B110" s="166" t="s">
        <v>476</v>
      </c>
      <c r="C110" s="1" t="s">
        <v>477</v>
      </c>
    </row>
    <row r="111">
      <c r="B111" s="1" t="s">
        <v>478</v>
      </c>
      <c r="C111" s="155" t="s">
        <v>479</v>
      </c>
    </row>
    <row r="114">
      <c r="B114" s="118" t="s">
        <v>480</v>
      </c>
      <c r="C114" s="119"/>
      <c r="D114" s="119"/>
      <c r="E114" s="119"/>
      <c r="F114" s="119"/>
      <c r="G114" s="119"/>
    </row>
    <row r="115">
      <c r="B115" s="97" t="s">
        <v>481</v>
      </c>
      <c r="C115" s="98"/>
      <c r="D115" s="98"/>
      <c r="E115" s="98"/>
      <c r="F115" s="98"/>
      <c r="G115" s="98"/>
    </row>
    <row r="116">
      <c r="B116" s="167" t="s">
        <v>482</v>
      </c>
      <c r="D116" s="168" t="s">
        <v>294</v>
      </c>
      <c r="E116" s="1" t="s">
        <v>483</v>
      </c>
      <c r="F116" s="1" t="s">
        <v>484</v>
      </c>
      <c r="G116" s="1" t="s">
        <v>485</v>
      </c>
    </row>
    <row r="117">
      <c r="B117" s="167" t="s">
        <v>486</v>
      </c>
      <c r="D117" s="168" t="s">
        <v>294</v>
      </c>
      <c r="E117" s="1" t="s">
        <v>487</v>
      </c>
      <c r="F117" s="1" t="s">
        <v>484</v>
      </c>
      <c r="G117" s="1" t="s">
        <v>488</v>
      </c>
    </row>
    <row r="118">
      <c r="B118" s="167" t="s">
        <v>187</v>
      </c>
      <c r="D118" s="168" t="s">
        <v>311</v>
      </c>
      <c r="E118" s="1" t="s">
        <v>489</v>
      </c>
      <c r="F118" s="1" t="s">
        <v>484</v>
      </c>
      <c r="G118" s="1" t="s">
        <v>490</v>
      </c>
    </row>
    <row r="119">
      <c r="B119" s="167" t="s">
        <v>188</v>
      </c>
      <c r="D119" s="168" t="s">
        <v>318</v>
      </c>
      <c r="E119" s="1" t="s">
        <v>491</v>
      </c>
      <c r="F119" s="1" t="s">
        <v>484</v>
      </c>
      <c r="G119" s="1" t="s">
        <v>492</v>
      </c>
    </row>
    <row r="120">
      <c r="B120" s="167" t="s">
        <v>190</v>
      </c>
      <c r="D120" s="168" t="s">
        <v>288</v>
      </c>
      <c r="E120" s="1" t="s">
        <v>493</v>
      </c>
      <c r="F120" s="1" t="s">
        <v>484</v>
      </c>
      <c r="G120" s="169" t="s">
        <v>494</v>
      </c>
    </row>
    <row r="121">
      <c r="B121" s="167" t="s">
        <v>194</v>
      </c>
      <c r="D121" s="168" t="s">
        <v>318</v>
      </c>
      <c r="E121" s="1" t="s">
        <v>495</v>
      </c>
      <c r="F121" s="1" t="s">
        <v>484</v>
      </c>
      <c r="G121" s="1" t="s">
        <v>496</v>
      </c>
    </row>
    <row r="122">
      <c r="B122" s="170"/>
      <c r="D122" s="171"/>
    </row>
    <row r="123">
      <c r="B123" s="97" t="s">
        <v>497</v>
      </c>
      <c r="C123" s="98"/>
      <c r="D123" s="98"/>
      <c r="E123" s="98"/>
      <c r="F123" s="98"/>
      <c r="G123" s="98"/>
    </row>
    <row r="124">
      <c r="B124" s="167" t="s">
        <v>498</v>
      </c>
      <c r="D124" s="168" t="s">
        <v>311</v>
      </c>
      <c r="E124" s="1" t="s">
        <v>499</v>
      </c>
      <c r="F124" s="1" t="s">
        <v>500</v>
      </c>
      <c r="G124" s="1" t="s">
        <v>501</v>
      </c>
    </row>
    <row r="125">
      <c r="B125" s="167" t="s">
        <v>502</v>
      </c>
      <c r="D125" s="168" t="s">
        <v>311</v>
      </c>
      <c r="E125" s="1" t="s">
        <v>503</v>
      </c>
      <c r="F125" s="1" t="s">
        <v>500</v>
      </c>
      <c r="G125" s="1" t="s">
        <v>501</v>
      </c>
    </row>
    <row r="126">
      <c r="B126" s="167" t="s">
        <v>504</v>
      </c>
      <c r="D126" s="168" t="s">
        <v>311</v>
      </c>
      <c r="E126" s="1" t="s">
        <v>505</v>
      </c>
      <c r="F126" s="1" t="s">
        <v>500</v>
      </c>
      <c r="G126" s="1" t="s">
        <v>501</v>
      </c>
    </row>
    <row r="127">
      <c r="B127" s="167" t="s">
        <v>506</v>
      </c>
      <c r="D127" s="168" t="s">
        <v>311</v>
      </c>
      <c r="E127" s="1" t="s">
        <v>507</v>
      </c>
      <c r="F127" s="1" t="s">
        <v>500</v>
      </c>
      <c r="G127" s="1" t="s">
        <v>501</v>
      </c>
    </row>
    <row r="128">
      <c r="B128" s="167" t="s">
        <v>508</v>
      </c>
      <c r="D128" s="168" t="s">
        <v>311</v>
      </c>
      <c r="E128" s="1" t="s">
        <v>509</v>
      </c>
      <c r="F128" s="1" t="s">
        <v>500</v>
      </c>
      <c r="G128" s="1" t="s">
        <v>501</v>
      </c>
    </row>
    <row r="129">
      <c r="B129" s="167" t="s">
        <v>510</v>
      </c>
      <c r="D129" s="168" t="s">
        <v>288</v>
      </c>
      <c r="E129" s="1" t="s">
        <v>511</v>
      </c>
      <c r="F129" s="1" t="s">
        <v>500</v>
      </c>
      <c r="G129" s="1" t="s">
        <v>512</v>
      </c>
    </row>
    <row r="130">
      <c r="B130" s="167" t="s">
        <v>513</v>
      </c>
      <c r="D130" s="168" t="s">
        <v>288</v>
      </c>
      <c r="E130" s="1" t="s">
        <v>514</v>
      </c>
      <c r="F130" s="1" t="s">
        <v>500</v>
      </c>
      <c r="G130" s="1" t="s">
        <v>512</v>
      </c>
    </row>
    <row r="131">
      <c r="B131" s="167" t="s">
        <v>515</v>
      </c>
      <c r="D131" s="168" t="s">
        <v>288</v>
      </c>
      <c r="E131" s="1" t="s">
        <v>516</v>
      </c>
      <c r="F131" s="1" t="s">
        <v>500</v>
      </c>
      <c r="G131" s="1" t="s">
        <v>512</v>
      </c>
    </row>
    <row r="132">
      <c r="B132" s="167" t="s">
        <v>517</v>
      </c>
      <c r="D132" s="168" t="s">
        <v>288</v>
      </c>
      <c r="E132" s="1" t="s">
        <v>518</v>
      </c>
      <c r="F132" s="1" t="s">
        <v>500</v>
      </c>
      <c r="G132" s="1" t="s">
        <v>512</v>
      </c>
    </row>
    <row r="133">
      <c r="B133" s="167" t="s">
        <v>519</v>
      </c>
      <c r="D133" s="168" t="s">
        <v>288</v>
      </c>
      <c r="E133" s="1" t="s">
        <v>520</v>
      </c>
      <c r="F133" s="1" t="s">
        <v>500</v>
      </c>
      <c r="G133" s="1" t="s">
        <v>512</v>
      </c>
    </row>
    <row r="134">
      <c r="B134" s="170"/>
      <c r="D134" s="171"/>
    </row>
    <row r="135">
      <c r="B135" s="97" t="s">
        <v>521</v>
      </c>
      <c r="C135" s="98"/>
      <c r="D135" s="98"/>
      <c r="E135" s="98"/>
      <c r="F135" s="98"/>
      <c r="G135" s="98"/>
    </row>
    <row r="136">
      <c r="B136" s="167" t="s">
        <v>522</v>
      </c>
      <c r="D136" s="168" t="s">
        <v>294</v>
      </c>
      <c r="E136" s="1" t="s">
        <v>523</v>
      </c>
      <c r="F136" s="1" t="s">
        <v>524</v>
      </c>
      <c r="G136" s="1" t="s">
        <v>525</v>
      </c>
    </row>
    <row r="138">
      <c r="B138" s="130" t="s">
        <v>526</v>
      </c>
      <c r="C138" s="131"/>
      <c r="D138" s="131"/>
      <c r="E138" s="131"/>
      <c r="F138" s="131"/>
      <c r="G138" s="131"/>
    </row>
    <row r="139">
      <c r="B139" s="134" t="s">
        <v>527</v>
      </c>
      <c r="C139" s="172"/>
      <c r="D139" s="172"/>
      <c r="E139" s="172"/>
      <c r="F139" s="172"/>
      <c r="G139" s="172"/>
    </row>
    <row r="140">
      <c r="B140" s="167" t="s">
        <v>136</v>
      </c>
      <c r="D140" s="168" t="s">
        <v>311</v>
      </c>
      <c r="E140" s="1" t="s">
        <v>528</v>
      </c>
      <c r="F140" s="1" t="s">
        <v>529</v>
      </c>
      <c r="G140" s="1" t="s">
        <v>530</v>
      </c>
    </row>
    <row r="141">
      <c r="B141" s="167" t="s">
        <v>61</v>
      </c>
      <c r="D141" s="168" t="s">
        <v>311</v>
      </c>
      <c r="E141" s="1" t="s">
        <v>531</v>
      </c>
      <c r="F141" s="1" t="s">
        <v>529</v>
      </c>
      <c r="G141" s="1" t="s">
        <v>532</v>
      </c>
    </row>
    <row r="142">
      <c r="B142" s="167" t="s">
        <v>138</v>
      </c>
      <c r="D142" s="168" t="s">
        <v>311</v>
      </c>
      <c r="E142" s="1" t="s">
        <v>533</v>
      </c>
      <c r="F142" s="1" t="s">
        <v>529</v>
      </c>
      <c r="G142" s="1" t="s">
        <v>534</v>
      </c>
    </row>
    <row r="143">
      <c r="B143" s="167" t="s">
        <v>235</v>
      </c>
      <c r="D143" s="168" t="s">
        <v>311</v>
      </c>
      <c r="E143" s="1" t="s">
        <v>535</v>
      </c>
      <c r="F143" s="1" t="s">
        <v>529</v>
      </c>
      <c r="G143" s="1" t="s">
        <v>536</v>
      </c>
    </row>
    <row r="144">
      <c r="B144" s="167" t="s">
        <v>237</v>
      </c>
      <c r="D144" s="168" t="s">
        <v>311</v>
      </c>
      <c r="E144" s="1" t="s">
        <v>537</v>
      </c>
      <c r="F144" s="1" t="s">
        <v>529</v>
      </c>
      <c r="G144" s="1" t="s">
        <v>538</v>
      </c>
    </row>
    <row r="145">
      <c r="B145" s="170"/>
      <c r="D145" s="171"/>
    </row>
    <row r="146">
      <c r="B146" s="134" t="s">
        <v>539</v>
      </c>
      <c r="C146" s="172"/>
      <c r="D146" s="172"/>
      <c r="E146" s="172"/>
      <c r="F146" s="172"/>
      <c r="G146" s="172"/>
    </row>
    <row r="147">
      <c r="B147" s="167" t="s">
        <v>540</v>
      </c>
      <c r="D147" s="168" t="s">
        <v>318</v>
      </c>
      <c r="E147" s="1" t="s">
        <v>541</v>
      </c>
      <c r="F147" s="1" t="s">
        <v>542</v>
      </c>
      <c r="G147" s="1" t="s">
        <v>543</v>
      </c>
    </row>
    <row r="148">
      <c r="B148" s="167" t="s">
        <v>544</v>
      </c>
      <c r="D148" s="168" t="s">
        <v>318</v>
      </c>
      <c r="E148" s="1" t="s">
        <v>545</v>
      </c>
      <c r="F148" s="1" t="s">
        <v>542</v>
      </c>
      <c r="G148" s="1" t="s">
        <v>546</v>
      </c>
    </row>
    <row r="149">
      <c r="B149" s="167" t="s">
        <v>547</v>
      </c>
      <c r="D149" s="168" t="s">
        <v>318</v>
      </c>
      <c r="E149" s="1" t="s">
        <v>548</v>
      </c>
      <c r="F149" s="1" t="s">
        <v>542</v>
      </c>
      <c r="G149" s="1" t="s">
        <v>549</v>
      </c>
    </row>
    <row r="150">
      <c r="B150" s="167" t="s">
        <v>550</v>
      </c>
      <c r="D150" s="168" t="s">
        <v>318</v>
      </c>
      <c r="E150" s="1" t="s">
        <v>551</v>
      </c>
      <c r="F150" s="1" t="s">
        <v>542</v>
      </c>
      <c r="G150" s="1" t="s">
        <v>552</v>
      </c>
    </row>
    <row r="151">
      <c r="B151" s="167" t="s">
        <v>553</v>
      </c>
      <c r="D151" s="168" t="s">
        <v>318</v>
      </c>
      <c r="E151" s="1" t="s">
        <v>554</v>
      </c>
      <c r="F151" s="1" t="s">
        <v>542</v>
      </c>
      <c r="G151" s="1" t="s">
        <v>555</v>
      </c>
    </row>
    <row r="152">
      <c r="B152" s="170"/>
      <c r="D152" s="171"/>
    </row>
    <row r="153">
      <c r="B153" s="134" t="s">
        <v>556</v>
      </c>
      <c r="C153" s="172"/>
      <c r="D153" s="172"/>
      <c r="E153" s="172"/>
      <c r="F153" s="172"/>
      <c r="G153" s="172"/>
    </row>
    <row r="154">
      <c r="B154" s="167" t="s">
        <v>157</v>
      </c>
      <c r="D154" s="168" t="s">
        <v>318</v>
      </c>
      <c r="E154" s="1" t="s">
        <v>557</v>
      </c>
      <c r="F154" s="1" t="s">
        <v>247</v>
      </c>
      <c r="G154" s="1" t="s">
        <v>558</v>
      </c>
    </row>
    <row r="155">
      <c r="B155" s="167" t="s">
        <v>559</v>
      </c>
      <c r="D155" s="168" t="s">
        <v>311</v>
      </c>
      <c r="E155" s="1" t="s">
        <v>560</v>
      </c>
      <c r="F155" s="1" t="s">
        <v>247</v>
      </c>
      <c r="G155" s="1" t="s">
        <v>561</v>
      </c>
    </row>
    <row r="156">
      <c r="B156" s="167" t="s">
        <v>562</v>
      </c>
      <c r="D156" s="168" t="s">
        <v>294</v>
      </c>
      <c r="E156" s="1" t="s">
        <v>563</v>
      </c>
      <c r="F156" s="1" t="s">
        <v>247</v>
      </c>
      <c r="G156" s="1" t="s">
        <v>564</v>
      </c>
    </row>
    <row r="157">
      <c r="B157" s="170"/>
      <c r="D157" s="171"/>
    </row>
    <row r="158">
      <c r="B158" s="134" t="s">
        <v>565</v>
      </c>
      <c r="C158" s="172"/>
      <c r="D158" s="172"/>
      <c r="E158" s="172"/>
      <c r="F158" s="172"/>
      <c r="G158" s="172"/>
    </row>
    <row r="159">
      <c r="B159" s="167" t="s">
        <v>566</v>
      </c>
      <c r="D159" s="168" t="s">
        <v>311</v>
      </c>
      <c r="E159" s="1" t="s">
        <v>567</v>
      </c>
      <c r="F159" s="1" t="s">
        <v>568</v>
      </c>
      <c r="G159" s="1" t="s">
        <v>569</v>
      </c>
    </row>
    <row r="160">
      <c r="B160" s="167" t="s">
        <v>570</v>
      </c>
      <c r="D160" s="168" t="s">
        <v>311</v>
      </c>
      <c r="E160" s="1" t="s">
        <v>571</v>
      </c>
      <c r="F160" s="1" t="s">
        <v>568</v>
      </c>
      <c r="G160" s="1" t="s">
        <v>572</v>
      </c>
    </row>
    <row r="161">
      <c r="B161" s="167" t="s">
        <v>573</v>
      </c>
      <c r="D161" s="168" t="s">
        <v>311</v>
      </c>
      <c r="E161" s="1" t="s">
        <v>574</v>
      </c>
      <c r="F161" s="1" t="s">
        <v>568</v>
      </c>
      <c r="G161" s="1" t="s">
        <v>575</v>
      </c>
    </row>
    <row r="162">
      <c r="B162" s="170"/>
      <c r="D162" s="171"/>
    </row>
    <row r="163">
      <c r="B163" s="134" t="s">
        <v>576</v>
      </c>
      <c r="C163" s="172"/>
      <c r="D163" s="172"/>
      <c r="E163" s="172"/>
      <c r="F163" s="172"/>
      <c r="G163" s="172"/>
    </row>
    <row r="164">
      <c r="B164" s="167" t="s">
        <v>577</v>
      </c>
      <c r="D164" s="168" t="s">
        <v>294</v>
      </c>
      <c r="E164" s="1" t="s">
        <v>578</v>
      </c>
      <c r="F164" s="1" t="s">
        <v>579</v>
      </c>
      <c r="G164" s="1" t="s">
        <v>580</v>
      </c>
    </row>
    <row r="165">
      <c r="B165" s="167" t="s">
        <v>581</v>
      </c>
      <c r="D165" s="168" t="s">
        <v>294</v>
      </c>
      <c r="E165" s="1" t="s">
        <v>582</v>
      </c>
      <c r="F165" s="1" t="s">
        <v>579</v>
      </c>
      <c r="G165" s="1" t="s">
        <v>580</v>
      </c>
    </row>
    <row r="166">
      <c r="B166" s="167" t="s">
        <v>583</v>
      </c>
      <c r="D166" s="168" t="s">
        <v>318</v>
      </c>
      <c r="E166" s="1" t="s">
        <v>584</v>
      </c>
      <c r="F166" s="1" t="s">
        <v>579</v>
      </c>
      <c r="G166" s="1" t="s">
        <v>585</v>
      </c>
    </row>
    <row r="167">
      <c r="B167" s="167" t="s">
        <v>465</v>
      </c>
      <c r="D167" s="168" t="s">
        <v>318</v>
      </c>
      <c r="E167" s="1" t="s">
        <v>586</v>
      </c>
      <c r="F167" s="1" t="s">
        <v>579</v>
      </c>
      <c r="G167" s="1" t="s">
        <v>587</v>
      </c>
    </row>
    <row r="168">
      <c r="B168" s="167" t="s">
        <v>588</v>
      </c>
      <c r="D168" s="168" t="s">
        <v>318</v>
      </c>
      <c r="E168" s="1" t="s">
        <v>589</v>
      </c>
      <c r="F168" s="1" t="s">
        <v>579</v>
      </c>
      <c r="G168" s="1" t="s">
        <v>590</v>
      </c>
    </row>
  </sheetData>
  <drawing r:id="rId1"/>
</worksheet>
</file>