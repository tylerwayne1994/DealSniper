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Data Mapping" sheetId="2" r:id="rId5"/>
  </sheets>
  <definedNames/>
  <calcPr/>
</workbook>
</file>

<file path=xl/sharedStrings.xml><?xml version="1.0" encoding="utf-8"?>
<sst xmlns="http://schemas.openxmlformats.org/spreadsheetml/2006/main" count="724" uniqueCount="467">
  <si>
    <t>s</t>
  </si>
  <si>
    <t>MULTIFAMILY UNDERWRITING MODEL</t>
  </si>
  <si>
    <t>Comprehensive Analysis with Creative Financing</t>
  </si>
  <si>
    <t>KEY DEAL METRICS</t>
  </si>
  <si>
    <t>SOURCES OF FUNDS</t>
  </si>
  <si>
    <t>USES OF FUNDS</t>
  </si>
  <si>
    <t>RETURN SUMMARY</t>
  </si>
  <si>
    <t>Property Name</t>
  </si>
  <si>
    <t>Source</t>
  </si>
  <si>
    <t>Amount</t>
  </si>
  <si>
    <t>%</t>
  </si>
  <si>
    <t>Use</t>
  </si>
  <si>
    <t>Metric</t>
  </si>
  <si>
    <t>5-Year</t>
  </si>
  <si>
    <t>10-Year</t>
  </si>
  <si>
    <t>Total Units</t>
  </si>
  <si>
    <t>Subject-To Mortgage</t>
  </si>
  <si>
    <t>Purchase Price</t>
  </si>
  <si>
    <t>Project IRR</t>
  </si>
  <si>
    <t>Total SF</t>
  </si>
  <si>
    <t>Seller Financing</t>
  </si>
  <si>
    <t>Closing Costs</t>
  </si>
  <si>
    <t>LP IRR</t>
  </si>
  <si>
    <t>Seller Carryback</t>
  </si>
  <si>
    <t>Due Diligence</t>
  </si>
  <si>
    <t>GP IRR</t>
  </si>
  <si>
    <t>Price Per Unit</t>
  </si>
  <si>
    <t>DSCR Loan</t>
  </si>
  <si>
    <t>CapEx Budget</t>
  </si>
  <si>
    <t>Equity Multiple</t>
  </si>
  <si>
    <t>Price Per SF</t>
  </si>
  <si>
    <t>LP Equity</t>
  </si>
  <si>
    <t>Financing Costs</t>
  </si>
  <si>
    <t>LP Eq Multiple</t>
  </si>
  <si>
    <t>Year 1 NOI</t>
  </si>
  <si>
    <t>GP Equity</t>
  </si>
  <si>
    <t>Operating Reserves</t>
  </si>
  <si>
    <t>GP Eq Multiple</t>
  </si>
  <si>
    <t>Going-In Cap Rate</t>
  </si>
  <si>
    <t>Total Sources</t>
  </si>
  <si>
    <t>Total Uses</t>
  </si>
  <si>
    <t>Avg CoC Return</t>
  </si>
  <si>
    <t>Stabilized Cap Rate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</si>
  <si>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</si>
  <si>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PROPERTY &amp; ACQUISITION ASSUMPTIONS</t>
  </si>
  <si>
    <t>Acquisition</t>
  </si>
  <si>
    <t>Growth Assumptions</t>
  </si>
  <si>
    <t>Sale Assumptions</t>
  </si>
  <si>
    <t>Acquisition Date</t>
  </si>
  <si>
    <t>Annual Rent Growth</t>
  </si>
  <si>
    <t>Selling Costs %</t>
  </si>
  <si>
    <t>Hold Period (Years)</t>
  </si>
  <si>
    <t>Annual Expense Growth</t>
  </si>
  <si>
    <t>CapEx Reserve $/Unit/Yr</t>
  </si>
  <si>
    <t>Year Built</t>
  </si>
  <si>
    <t>Vacancy Rate</t>
  </si>
  <si>
    <t>Annual CapEx (Ongoing)</t>
  </si>
  <si>
    <t>Bad Debt Rate</t>
  </si>
  <si>
    <t>Renovated Unit Premium</t>
  </si>
  <si>
    <t>Concessions</t>
  </si>
  <si>
    <t>Classic Rent Avg</t>
  </si>
  <si>
    <t>CapEx Budget (Year 1)</t>
  </si>
  <si>
    <t>Management Fee %</t>
  </si>
  <si>
    <t>Renovated Rent Avg</t>
  </si>
  <si>
    <t>Exit Cap Rate (5-Yr)</t>
  </si>
  <si>
    <t>Exit Cap Rate (10-Yr)</t>
  </si>
  <si>
    <t>UNIT MIX &amp; RENT ROLL</t>
  </si>
  <si>
    <t>UNIT MIX SUMMARY</t>
  </si>
  <si>
    <t>Unit #</t>
  </si>
  <si>
    <t>Type</t>
  </si>
  <si>
    <t>SF</t>
  </si>
  <si>
    <t>Status</t>
  </si>
  <si>
    <t>Market Rent</t>
  </si>
  <si>
    <t>In-Place Rent</t>
  </si>
  <si>
    <t>Loss to Lease</t>
  </si>
  <si>
    <t>Lease Start</t>
  </si>
  <si>
    <t>Lease End</t>
  </si>
  <si>
    <t>Tenant Name</t>
  </si>
  <si>
    <t>Unit Type</t>
  </si>
  <si>
    <t>Count</t>
  </si>
  <si>
    <t>Avg SF</t>
  </si>
  <si>
    <t>Avg Rent</t>
  </si>
  <si>
    <t>1BR/1BA</t>
  </si>
  <si>
    <t>2BR/1BA</t>
  </si>
  <si>
    <t>2BR/2BA</t>
  </si>
  <si>
    <t>Total/Avg</t>
  </si>
  <si>
    <t>STATUS SUMMARY</t>
  </si>
  <si>
    <t>% of Total</t>
  </si>
  <si>
    <t>Renovated</t>
  </si>
  <si>
    <t>Classic</t>
  </si>
  <si>
    <t>Vacant</t>
  </si>
  <si>
    <t>TOTALS</t>
  </si>
  <si>
    <t>REVENUE PROJECTIONS</t>
  </si>
  <si>
    <t>Revenue Item</t>
  </si>
  <si>
    <t>$/Unit/Mo</t>
  </si>
  <si>
    <t>Annual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</si>
  <si>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</si>
  <si>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</si>
  <si>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</si>
  <si>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</si>
  <si>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</si>
  <si>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</si>
  <si>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</si>
  <si>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</si>
  <si>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</si>
  <si>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</si>
  <si>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Gross Potential Rent</t>
  </si>
  <si>
    <t>(Less) Vacancy</t>
  </si>
  <si>
    <t>(Less) Loss to Lease</t>
  </si>
  <si>
    <t>(Less) Concessions</t>
  </si>
  <si>
    <t>(Less) Bad Debt</t>
  </si>
  <si>
    <t>Net Rental Income</t>
  </si>
  <si>
    <t>Other Income</t>
  </si>
  <si>
    <t>Laundry Income</t>
  </si>
  <si>
    <t>Parking Income</t>
  </si>
  <si>
    <t>Pet Fees</t>
  </si>
  <si>
    <t>Application Fees</t>
  </si>
  <si>
    <t>Late Fees</t>
  </si>
  <si>
    <t>Storage Income</t>
  </si>
  <si>
    <t>Total Other Income</t>
  </si>
  <si>
    <t>RUBS UTILITY BILLBACK</t>
  </si>
  <si>
    <t>Toggle (1=Tenant, 0=Owner)</t>
  </si>
  <si>
    <t>Water/Sewer Billback</t>
  </si>
  <si>
    <t>Electric Billback</t>
  </si>
  <si>
    <t>Gas Billback</t>
  </si>
  <si>
    <t>Trash Billback</t>
  </si>
  <si>
    <t>Total RUBS Income</t>
  </si>
  <si>
    <t>EFFECTIVE GROSS INCOME</t>
  </si>
  <si>
    <t>OPERATING EXPENSES</t>
  </si>
  <si>
    <t>Expense Item</t>
  </si>
  <si>
    <t>Real Estate Taxes</t>
  </si>
  <si>
    <t>Property Insurance</t>
  </si>
  <si>
    <t>Water/Sewer</t>
  </si>
  <si>
    <t>Electric (Common)</t>
  </si>
  <si>
    <t>Gas</t>
  </si>
  <si>
    <t>Trash Removal</t>
  </si>
  <si>
    <t>Repairs &amp; Maintenance</t>
  </si>
  <si>
    <t>Landscaping</t>
  </si>
  <si>
    <t>Pest Control</t>
  </si>
  <si>
    <t>Snow Removal</t>
  </si>
  <si>
    <t>Unit Turnover</t>
  </si>
  <si>
    <t>Management Fee</t>
  </si>
  <si>
    <t>On-Site Payroll</t>
  </si>
  <si>
    <t>Marketing &amp; Advertising</t>
  </si>
  <si>
    <t>Legal &amp; Professional</t>
  </si>
  <si>
    <t>Accounting</t>
  </si>
  <si>
    <t>Administrative</t>
  </si>
  <si>
    <t>Security</t>
  </si>
  <si>
    <t>Cable/Internet</t>
  </si>
  <si>
    <t>Elevator Maintenance</t>
  </si>
  <si>
    <t>Pool Maintenance</t>
  </si>
  <si>
    <t>Replacement Reserves</t>
  </si>
  <si>
    <t>TOTAL OPERATING EXPENSES</t>
  </si>
  <si>
    <t>NET OPERATING INCOME (NOI)</t>
  </si>
  <si>
    <t>Expense Ratio (% of EGI)</t>
  </si>
  <si>
    <t>NOI Per Unit</t>
  </si>
  <si>
    <t>CREATIVE FINANCING STRUCTURE</t>
  </si>
  <si>
    <t>SUBJECT-TO EXISTING MORTGAGE</t>
  </si>
  <si>
    <t>Current Balance</t>
  </si>
  <si>
    <t>Interest Rate</t>
  </si>
  <si>
    <t>Remaining Term (Months)</t>
  </si>
  <si>
    <t>Monthly P&amp;I</t>
  </si>
  <si>
    <t>Annual Debt Service</t>
  </si>
  <si>
    <t>SELLER FINANCING (1ST POSITION)</t>
  </si>
  <si>
    <t>Loan Amount</t>
  </si>
  <si>
    <t>Term (Months)</t>
  </si>
  <si>
    <t>Amortization (Months)</t>
  </si>
  <si>
    <t>Interest-Only Period (Mo)</t>
  </si>
  <si>
    <t>Monthly P&amp;I (after IO)</t>
  </si>
  <si>
    <t>Monthly IO Payment</t>
  </si>
  <si>
    <t>SELLER CARRYBACK (2ND POSITION)</t>
  </si>
  <si>
    <t>Interest-Only (Y/N)</t>
  </si>
  <si>
    <t>Monthly Payment</t>
  </si>
  <si>
    <t>DSCR LOAN</t>
  </si>
  <si>
    <t>LTV %</t>
  </si>
  <si>
    <t>DSCR Requirement</t>
  </si>
  <si>
    <t>BLENDED FINANCING SUMMARY</t>
  </si>
  <si>
    <t>Total Debt</t>
  </si>
  <si>
    <t>Total Annual Debt Service</t>
  </si>
  <si>
    <t>Blended Interest Rate</t>
  </si>
  <si>
    <t>Debt Yield</t>
  </si>
  <si>
    <t>LTV (% of Purchase)</t>
  </si>
  <si>
    <t>CASH FLOW PROJECTIONS</t>
  </si>
  <si>
    <t>Cash Flow Item</t>
  </si>
  <si>
    <t>Year 0</t>
  </si>
  <si>
    <t>Net Operating Income</t>
  </si>
  <si>
    <t>(-) Subject-To Debt Service</t>
  </si>
  <si>
    <t>(-) Seller Financing DS</t>
  </si>
  <si>
    <t>(-) Seller Carryback DS</t>
  </si>
  <si>
    <t>(-) DSCR Loan DS</t>
  </si>
  <si>
    <t>Total Debt Service</t>
  </si>
  <si>
    <t>(-) CapEx/Reserves</t>
  </si>
  <si>
    <t>Before-Tax Cash Flow</t>
  </si>
  <si>
    <t>DSCR (NOI/Debt Service)</t>
  </si>
  <si>
    <t>Cash-on-Cash Return</t>
  </si>
  <si>
    <t>SALE / REVERSION ANALYSIS</t>
  </si>
  <si>
    <t>Exit Cap Rate Applied</t>
  </si>
  <si>
    <t>Forward NOI (Next Year)</t>
  </si>
  <si>
    <t>Gross Sale Price</t>
  </si>
  <si>
    <t>(-) Selling Costs</t>
  </si>
  <si>
    <t>(-) Loan Payoffs</t>
  </si>
  <si>
    <t>Net Sale Proceeds</t>
  </si>
  <si>
    <t>EQUITY INVESTMENT</t>
  </si>
  <si>
    <t>Total Acquisition Cost</t>
  </si>
  <si>
    <t>(-) Total Debt</t>
  </si>
  <si>
    <t>Required Equity</t>
  </si>
  <si>
    <t>LP Equity (90%)</t>
  </si>
  <si>
    <t>GP Equity (10%)</t>
  </si>
  <si>
    <t>IRR CASH FLOWS</t>
  </si>
  <si>
    <t>Initial Investment</t>
  </si>
  <si>
    <t>Operating Cash Flow</t>
  </si>
  <si>
    <t>Sale Proceeds (5-Yr)</t>
  </si>
  <si>
    <t>Sale Proceeds (10-Yr)</t>
  </si>
  <si>
    <t>Total CF (5-Yr Exit)</t>
  </si>
  <si>
    <t>Total CF (10-Yr Exit)</t>
  </si>
  <si>
    <t>WATERFALL DISTRIBUTION &amp; RETURNS</t>
  </si>
  <si>
    <t>WATERFALL STRUCTURE</t>
  </si>
  <si>
    <t>Preferred Return (Pref)</t>
  </si>
  <si>
    <t>LP Equity Split (Pre-Pref)</t>
  </si>
  <si>
    <t>GP Equity Split (Pre-Pref)</t>
  </si>
  <si>
    <t>LP Split (After Pref)</t>
  </si>
  <si>
    <t>GP Promote (After Pref)</t>
  </si>
  <si>
    <t>WATERFALL CALCULATION</t>
  </si>
  <si>
    <t>Distribution Item</t>
  </si>
  <si>
    <t>Distributable Cash (5-Yr)</t>
  </si>
  <si>
    <t>Distributable Cash (10-Yr)</t>
  </si>
  <si>
    <t>LP Pref Accrual</t>
  </si>
  <si>
    <t>LP Distribution</t>
  </si>
  <si>
    <t>GP Distribution</t>
  </si>
  <si>
    <t>RETURN METRICS</t>
  </si>
  <si>
    <t>LP Equity Multiple</t>
  </si>
  <si>
    <t>GP Equity Multiple</t>
  </si>
  <si>
    <t>Avg Cash-on-Cash</t>
  </si>
  <si>
    <t>LP Cash Flows (5-Yr)</t>
  </si>
  <si>
    <t>LP Cash Flows (10-Yr)</t>
  </si>
  <si>
    <t>GP Cash Flows (5-Yr)</t>
  </si>
  <si>
    <t>GP Cash Flows (10-Yr)</t>
  </si>
  <si>
    <t>SENSITIVITY ANALYSIS</t>
  </si>
  <si>
    <t>Project IRR (5-Yr Exit) by Exit Cap Rate vs Rent Growth</t>
  </si>
  <si>
    <t>Exit Cap →</t>
  </si>
  <si>
    <t>Rent Growth ↓</t>
  </si>
  <si>
    <t>VALUE-ADD ANALYSIS</t>
  </si>
  <si>
    <t>Impact of Rent Increases &amp; Expense Reductions on Property Value</t>
  </si>
  <si>
    <t>SCENARIO INPUTS</t>
  </si>
  <si>
    <t>Monthly Rent Increase ($/unit)</t>
  </si>
  <si>
    <t>Annual Expense Reduction ($/unit)</t>
  </si>
  <si>
    <t>Renovation Cost (Total)</t>
  </si>
  <si>
    <t>Entry Cap Rate (Current)</t>
  </si>
  <si>
    <t>Exit Cap Rate</t>
  </si>
  <si>
    <t>NOI IMPACT</t>
  </si>
  <si>
    <t>Current</t>
  </si>
  <si>
    <t>Pro Forma</t>
  </si>
  <si>
    <t>Change</t>
  </si>
  <si>
    <t>Gross Rental Income</t>
  </si>
  <si>
    <t>Operating Expenses</t>
  </si>
  <si>
    <t>VALUATION IMPACT</t>
  </si>
  <si>
    <t>Value Created</t>
  </si>
  <si>
    <t>Value @ Entry Cap Rate</t>
  </si>
  <si>
    <t>Value @ Exit Cap Rate</t>
  </si>
  <si>
    <t>VALUE CREATION SUMMARY</t>
  </si>
  <si>
    <t>Renovation Investment</t>
  </si>
  <si>
    <t>NOI Increase (Annual)</t>
  </si>
  <si>
    <t>Value Created @ Entry Cap</t>
  </si>
  <si>
    <t>Value Created @ Exit Cap</t>
  </si>
  <si>
    <t>Return on Renovation (Entry Cap)</t>
  </si>
  <si>
    <t>Return on Renovation (Exit Cap)</t>
  </si>
  <si>
    <t>Cash-on-Cash on Reno Spend</t>
  </si>
  <si>
    <t>OM DATA PARSING MAP</t>
  </si>
  <si>
    <t>Map incoming Offering Memorandum data to underwriting model cells</t>
  </si>
  <si>
    <t>INSTRUCTIONS</t>
  </si>
  <si>
    <t>1. Paste OM data in Column C (Source Value)</t>
  </si>
  <si>
    <t>2. Values automatically map to the Model sheet via formulas</t>
  </si>
  <si>
    <t>3. Yellow cells = required inputs, Gray cells = optional</t>
  </si>
  <si>
    <t>OM Field Name</t>
  </si>
  <si>
    <t>Source Value (Paste Here)</t>
  </si>
  <si>
    <t>Data Type</t>
  </si>
  <si>
    <t>Maps To Cell</t>
  </si>
  <si>
    <t>Model Section</t>
  </si>
  <si>
    <t>Notes</t>
  </si>
  <si>
    <t>PROPERTY INFORMATION</t>
  </si>
  <si>
    <t>Text</t>
  </si>
  <si>
    <t>Model!D6</t>
  </si>
  <si>
    <t>Key Metrics</t>
  </si>
  <si>
    <t>Property Address</t>
  </si>
  <si>
    <t>Model!D7 (note)</t>
  </si>
  <si>
    <t>Store in note or separate field</t>
  </si>
  <si>
    <t>Number</t>
  </si>
  <si>
    <t>Model!D7</t>
  </si>
  <si>
    <t>Required</t>
  </si>
  <si>
    <t>Total Square Feet</t>
  </si>
  <si>
    <t>Model!D8</t>
  </si>
  <si>
    <t>Building SF</t>
  </si>
  <si>
    <t>Model!D22</t>
  </si>
  <si>
    <t>Assumptions</t>
  </si>
  <si>
    <t>Lot Size (Acres)</t>
  </si>
  <si>
    <t>-</t>
  </si>
  <si>
    <t>Reference</t>
  </si>
  <si>
    <t>Not mapped - for reference</t>
  </si>
  <si>
    <t>Zoning</t>
  </si>
  <si>
    <t>Parking Spaces</t>
  </si>
  <si>
    <t>ACQUISITION / PRICING</t>
  </si>
  <si>
    <t>Asking Price</t>
  </si>
  <si>
    <t>Currency</t>
  </si>
  <si>
    <t>Model!D9</t>
  </si>
  <si>
    <t>Purchase Price input</t>
  </si>
  <si>
    <t>Calculated</t>
  </si>
  <si>
    <t>Auto-calculated from Price/Units</t>
  </si>
  <si>
    <t>Auto-calculated</t>
  </si>
  <si>
    <t>Current Cap Rate</t>
  </si>
  <si>
    <t>Percent</t>
  </si>
  <si>
    <t>Seller's stated cap</t>
  </si>
  <si>
    <t>Pro Forma Cap Rate</t>
  </si>
  <si>
    <t>Seller's pro forma</t>
  </si>
  <si>
    <t>Model!D23</t>
  </si>
  <si>
    <t>Estimate if not provided</t>
  </si>
  <si>
    <t>Due Diligence Budget</t>
  </si>
  <si>
    <t>Model!D24</t>
  </si>
  <si>
    <t>Model!D25</t>
  </si>
  <si>
    <t>Renovation/deferred maint</t>
  </si>
  <si>
    <t>INCOME (T-12 or Pro Forma)</t>
  </si>
  <si>
    <t>Gross Potential Rent (Annual)</t>
  </si>
  <si>
    <t>Model!D63</t>
  </si>
  <si>
    <t>Revenue</t>
  </si>
  <si>
    <t>GPR from OM</t>
  </si>
  <si>
    <t>Vacancy Loss %</t>
  </si>
  <si>
    <t>Model!H22</t>
  </si>
  <si>
    <t>Economic vacancy rate</t>
  </si>
  <si>
    <t>Loss to Lease (Annual)</t>
  </si>
  <si>
    <t>Model!D65</t>
  </si>
  <si>
    <t>Below-market leases</t>
  </si>
  <si>
    <t>Concessions (Annual)</t>
  </si>
  <si>
    <t>Use % in Model!H24</t>
  </si>
  <si>
    <t>Bad Debt %</t>
  </si>
  <si>
    <t>Model!H23</t>
  </si>
  <si>
    <t>Model!C71</t>
  </si>
  <si>
    <t>$/unit/month</t>
  </si>
  <si>
    <t>Model!C72</t>
  </si>
  <si>
    <t>Pet Income</t>
  </si>
  <si>
    <t>Model!C73</t>
  </si>
  <si>
    <t>Model!C74-C76</t>
  </si>
  <si>
    <t>Split across line items</t>
  </si>
  <si>
    <t>RUBS/Utility Reimbursement</t>
  </si>
  <si>
    <t>Model!C81-C84</t>
  </si>
  <si>
    <t>If tenant-paid utilities</t>
  </si>
  <si>
    <t>OPERATING EXPENSES (T-12 or Pro Forma)</t>
  </si>
  <si>
    <t>Model!C93</t>
  </si>
  <si>
    <t>Expenses</t>
  </si>
  <si>
    <t>Annual or $/unit/mo</t>
  </si>
  <si>
    <t>Model!C94</t>
  </si>
  <si>
    <t>Model!C95</t>
  </si>
  <si>
    <t>If owner-paid</t>
  </si>
  <si>
    <t>Electric (Common Area)</t>
  </si>
  <si>
    <t>Model!C96</t>
  </si>
  <si>
    <t>Model!C97</t>
  </si>
  <si>
    <t>Model!C98</t>
  </si>
  <si>
    <t>Model!C99</t>
  </si>
  <si>
    <t>Model!C100</t>
  </si>
  <si>
    <t>Model!C101</t>
  </si>
  <si>
    <t>Model!C102</t>
  </si>
  <si>
    <t>If applicable</t>
  </si>
  <si>
    <t>Unit Turnover/Make Ready</t>
  </si>
  <si>
    <t>Model!C103</t>
  </si>
  <si>
    <t>Model!H25</t>
  </si>
  <si>
    <t>% of EGI</t>
  </si>
  <si>
    <t>Model!C105</t>
  </si>
  <si>
    <t>Marketing/Advertising</t>
  </si>
  <si>
    <t>Model!C106</t>
  </si>
  <si>
    <t>Model!C107</t>
  </si>
  <si>
    <t>Model!C108</t>
  </si>
  <si>
    <t>Administrative/G&amp;A</t>
  </si>
  <si>
    <t>Model!C109</t>
  </si>
  <si>
    <t>Model!C110</t>
  </si>
  <si>
    <t>Model!C111</t>
  </si>
  <si>
    <t>Total Operating Expenses</t>
  </si>
  <si>
    <t>Sum of above - verify</t>
  </si>
  <si>
    <t>NOI (from OM)</t>
  </si>
  <si>
    <t>Compare to model output</t>
  </si>
  <si>
    <t>RENT ROLL DATA</t>
  </si>
  <si>
    <t>Unit Numbers</t>
  </si>
  <si>
    <t>Model!B33:B56</t>
  </si>
  <si>
    <t>Rent Roll</t>
  </si>
  <si>
    <t>List of unit IDs</t>
  </si>
  <si>
    <t>Unit Types (1BR, 2BR, etc)</t>
  </si>
  <si>
    <t>Model!C33:C56</t>
  </si>
  <si>
    <t>Bedroom/bath config</t>
  </si>
  <si>
    <t>Unit Square Feet</t>
  </si>
  <si>
    <t>Model!D33:D56</t>
  </si>
  <si>
    <t>Per unit</t>
  </si>
  <si>
    <t>Unit Status</t>
  </si>
  <si>
    <t>Model!E33:E56</t>
  </si>
  <si>
    <t>Renovated/Classic/Vacant</t>
  </si>
  <si>
    <t>Model!F33:F56</t>
  </si>
  <si>
    <t>Current market rate</t>
  </si>
  <si>
    <t>Model!G33:G56</t>
  </si>
  <si>
    <t>Actual rent collected</t>
  </si>
  <si>
    <t>Lease Start Date</t>
  </si>
  <si>
    <t>Date</t>
  </si>
  <si>
    <t>Model!I33:I56</t>
  </si>
  <si>
    <t>Lease End Date</t>
  </si>
  <si>
    <t>Model!J33:J56</t>
  </si>
  <si>
    <t>Model!K33:K56</t>
  </si>
  <si>
    <t>Or 'Vacant'</t>
  </si>
  <si>
    <t>EXISTING FINANCING (for Subject-To)</t>
  </si>
  <si>
    <t>Existing Loan Balance</t>
  </si>
  <si>
    <t>Model!D127</t>
  </si>
  <si>
    <t>Financing</t>
  </si>
  <si>
    <t>If assuming existing debt</t>
  </si>
  <si>
    <t>Existing Loan Rate</t>
  </si>
  <si>
    <t>Model!D128</t>
  </si>
  <si>
    <t>Current interest rate</t>
  </si>
  <si>
    <t>Model!D129</t>
  </si>
  <si>
    <t>Months remaining</t>
  </si>
  <si>
    <t>Monthly P&amp;I Payment</t>
  </si>
  <si>
    <t>Verify against model</t>
  </si>
  <si>
    <t>Loan Maturity Date</t>
  </si>
  <si>
    <t>Calculate from term</t>
  </si>
  <si>
    <t>Prepayment Penalty</t>
  </si>
  <si>
    <t>Note any restrictions</t>
  </si>
  <si>
    <t>Assumable (Y/N)</t>
  </si>
  <si>
    <t>Key for subject-to</t>
  </si>
  <si>
    <t>GROWTH ASSUMPTIONS (Your Inputs)</t>
  </si>
  <si>
    <t>Annual Rent Growth %</t>
  </si>
  <si>
    <t>Model!H20</t>
  </si>
  <si>
    <t>Market rent escalation</t>
  </si>
  <si>
    <t>Annual Expense Growth %</t>
  </si>
  <si>
    <t>Model!H21</t>
  </si>
  <si>
    <t>Inflation factor</t>
  </si>
  <si>
    <t>Exit Cap Rate (5-Year)</t>
  </si>
  <si>
    <t>Model!H26</t>
  </si>
  <si>
    <t>For reversion calc</t>
  </si>
  <si>
    <t>Exit Cap Rate (10-Year)</t>
  </si>
  <si>
    <t>Model!H27</t>
  </si>
  <si>
    <t>Model!L20</t>
  </si>
  <si>
    <t>Broker fees, transfer tax</t>
  </si>
  <si>
    <t>CapEx Reserve $/Unit/Year</t>
  </si>
  <si>
    <t>Model!L21</t>
  </si>
  <si>
    <t>Ongoing reserves</t>
  </si>
  <si>
    <t>QUICK REFERENCE - KEY MODEL CELLS</t>
  </si>
  <si>
    <t>Output</t>
  </si>
  <si>
    <t>Cell</t>
  </si>
  <si>
    <t>Model!E117</t>
  </si>
  <si>
    <t>Year 1 EGI</t>
  </si>
  <si>
    <t>Model!E87</t>
  </si>
  <si>
    <t>Model!D13</t>
  </si>
  <si>
    <t>Model!D14</t>
  </si>
  <si>
    <t>Model!D164</t>
  </si>
  <si>
    <t>Model!D197</t>
  </si>
  <si>
    <t>Project IRR (5-Yr)</t>
  </si>
  <si>
    <t>Model!O230</t>
  </si>
  <si>
    <t>Project IRR (10-Yr)</t>
  </si>
  <si>
    <t>Model!P230</t>
  </si>
  <si>
    <t>LP IRR (5-Yr)</t>
  </si>
  <si>
    <t>Model!O231</t>
  </si>
  <si>
    <t>LP IRR (10-Yr)</t>
  </si>
  <si>
    <t>Model!P231</t>
  </si>
  <si>
    <t>RUBS Toggle</t>
  </si>
  <si>
    <t>Model!D80</t>
  </si>
  <si>
    <t>1=Tenant, 0=Owner</t>
  </si>
  <si>
    <t>LEGEND</t>
  </si>
  <si>
    <t>Yellow cells</t>
  </si>
  <si>
    <t>Required inputs</t>
  </si>
  <si>
    <t>Gray cells</t>
  </si>
  <si>
    <t>Optional inputs</t>
  </si>
  <si>
    <t>Green cells</t>
  </si>
  <si>
    <t>Your assumptions (not from OM)</t>
  </si>
  <si>
    <t>Blue text</t>
  </si>
  <si>
    <t>Cell references in Model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</si>
</sst>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x"/>
    <numFmt numFmtId="166" formatCode="yyyy-mm-dd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1F4E79"/>
      <name val="Arial"/>
      <scheme val="minor"/>
    </font>
    <font>
      <i/>
      <sz val="11.0"/>
      <color rgb="FF666666"/>
      <name val="Arial"/>
      <scheme val="minor"/>
    </font>
    <font>
      <b/>
      <sz val="11.0"/>
      <color rgb="FFFFFFFF"/>
      <name val="Arial"/>
      <scheme val="minor"/>
    </font>
    <font>
      <color rgb="FF0000FF"/>
      <name val="Arial"/>
      <scheme val="minor"/>
    </font>
    <font>
      <b/>
      <color theme="1"/>
      <name val="Arial"/>
      <scheme val="minor"/>
    </font>
    <font>
      <color rgb="FF1F4E79"/>
      <name val="Arial"/>
      <scheme val="minor"/>
    </font>
    <font>
      <b/>
      <sz val="12.0"/>
      <color rgb="FFFFFFFF"/>
      <name val="Arial"/>
      <scheme val="minor"/>
    </font>
    <font>
      <b/>
      <color rgb="FF0000FF"/>
      <name val="Arial"/>
      <scheme val="minor"/>
    </font>
    <font>
      <b/>
      <sz val="10.0"/>
      <color rgb="FFFFFFFF"/>
      <name val="Arial"/>
      <scheme val="minor"/>
    </font>
    <font>
      <b/>
      <i/>
      <color theme="1"/>
      <name val="Arial"/>
      <scheme val="minor"/>
    </font>
    <font>
      <b/>
      <sz val="9.0"/>
      <color rgb="FFFFFFFF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rgb="FF538135"/>
        <bgColor rgb="FF538135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E2D5F1"/>
        <bgColor rgb="FFE2D5F1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3" fontId="4" numFmtId="0" xfId="0" applyAlignment="1" applyFill="1" applyFont="1">
      <alignment readingOrder="0"/>
    </xf>
    <xf borderId="0" fillId="3" fontId="4" numFmtId="0" xfId="0" applyFont="1"/>
    <xf borderId="0" fillId="4" fontId="4" numFmtId="0" xfId="0" applyAlignment="1" applyFill="1" applyFont="1">
      <alignment readingOrder="0"/>
    </xf>
    <xf borderId="0" fillId="4" fontId="4" numFmtId="0" xfId="0" applyFont="1"/>
    <xf borderId="0" fillId="5" fontId="1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6" fontId="5" numFmtId="3" xfId="0" applyAlignment="1" applyFont="1" applyNumberFormat="1">
      <alignment readingOrder="0"/>
    </xf>
    <xf borderId="0" fillId="0" fontId="1" numFmtId="42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6" fontId="5" numFmtId="42" xfId="0" applyAlignment="1" applyFont="1" applyNumberFormat="1">
      <alignment readingOrder="0"/>
    </xf>
    <xf borderId="0" fillId="0" fontId="1" numFmtId="165" xfId="0" applyFont="1" applyNumberFormat="1"/>
    <xf borderId="0" fillId="7" fontId="6" numFmtId="42" xfId="0" applyFont="1" applyNumberFormat="1"/>
    <xf borderId="0" fillId="7" fontId="6" numFmtId="164" xfId="0" applyFont="1" applyNumberFormat="1"/>
    <xf borderId="0" fillId="0" fontId="7" numFmtId="0" xfId="0" applyAlignment="1" applyFont="1">
      <alignment readingOrder="0"/>
    </xf>
    <xf borderId="0" fillId="0" fontId="1" numFmtId="0" xfId="0" applyFont="1"/>
    <xf borderId="0" fillId="2" fontId="8" numFmtId="0" xfId="0" applyAlignment="1" applyFont="1">
      <alignment readingOrder="0"/>
    </xf>
    <xf borderId="0" fillId="2" fontId="8" numFmtId="10" xfId="0" applyFont="1" applyNumberFormat="1"/>
    <xf borderId="0" fillId="2" fontId="8" numFmtId="0" xfId="0" applyFont="1"/>
    <xf borderId="0" fillId="2" fontId="8" numFmtId="0" xfId="0" applyFont="1"/>
    <xf borderId="0" fillId="2" fontId="8" numFmtId="42" xfId="0" applyFont="1" applyNumberFormat="1"/>
    <xf borderId="0" fillId="2" fontId="8" numFmtId="164" xfId="0" applyFont="1" applyNumberFormat="1"/>
    <xf borderId="0" fillId="7" fontId="6" numFmtId="10" xfId="0" applyFont="1" applyNumberFormat="1"/>
    <xf borderId="0" fillId="7" fontId="6" numFmtId="0" xfId="0" applyFont="1"/>
    <xf borderId="0" fillId="6" fontId="5" numFmtId="166" xfId="0" applyAlignment="1" applyFont="1" applyNumberFormat="1">
      <alignment readingOrder="0"/>
    </xf>
    <xf borderId="0" fillId="6" fontId="5" numFmtId="10" xfId="0" applyAlignment="1" applyFont="1" applyNumberFormat="1">
      <alignment readingOrder="0"/>
    </xf>
    <xf borderId="0" fillId="6" fontId="5" numFmtId="42" xfId="0" applyFont="1" applyNumberFormat="1"/>
    <xf borderId="0" fillId="0" fontId="1" numFmtId="3" xfId="0" applyFont="1" applyNumberFormat="1"/>
    <xf borderId="0" fillId="0" fontId="1" numFmtId="166" xfId="0" applyFont="1" applyNumberFormat="1"/>
    <xf borderId="0" fillId="0" fontId="1" numFmtId="0" xfId="0" applyFont="1"/>
    <xf borderId="0" fillId="7" fontId="6" numFmtId="3" xfId="0" applyFont="1" applyNumberFormat="1"/>
    <xf borderId="0" fillId="0" fontId="1" numFmtId="166" xfId="0" applyFont="1" applyNumberFormat="1"/>
    <xf borderId="0" fillId="0" fontId="1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8" fontId="4" numFmtId="0" xfId="0" applyFont="1"/>
    <xf borderId="0" fillId="6" fontId="9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0" fillId="2" fontId="4" numFmtId="42" xfId="0" applyFont="1" applyNumberFormat="1"/>
    <xf borderId="0" fillId="10" fontId="8" numFmtId="0" xfId="0" applyAlignment="1" applyFill="1" applyFont="1">
      <alignment readingOrder="0"/>
    </xf>
    <xf borderId="0" fillId="10" fontId="8" numFmtId="0" xfId="0" applyFont="1"/>
    <xf borderId="0" fillId="11" fontId="6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1" fontId="6" numFmtId="0" xfId="0" applyFont="1"/>
    <xf borderId="0" fillId="11" fontId="6" numFmtId="42" xfId="0" applyFont="1" applyNumberFormat="1"/>
    <xf borderId="0" fillId="4" fontId="4" numFmtId="42" xfId="0" applyFont="1" applyNumberFormat="1"/>
    <xf borderId="0" fillId="3" fontId="10" numFmtId="0" xfId="0" applyAlignment="1" applyFont="1">
      <alignment readingOrder="0"/>
    </xf>
    <xf borderId="0" fillId="3" fontId="10" numFmtId="0" xfId="0" applyFont="1"/>
    <xf borderId="0" fillId="6" fontId="5" numFmtId="164" xfId="0" applyAlignment="1" applyFont="1" applyNumberFormat="1">
      <alignment readingOrder="0"/>
    </xf>
    <xf borderId="0" fillId="6" fontId="5" numFmtId="165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4" fontId="10" numFmtId="0" xfId="0" applyFont="1"/>
    <xf borderId="0" fillId="9" fontId="1" numFmtId="0" xfId="0" applyAlignment="1" applyFont="1">
      <alignment readingOrder="0"/>
    </xf>
    <xf borderId="0" fillId="13" fontId="4" numFmtId="0" xfId="0" applyAlignment="1" applyFill="1" applyFont="1">
      <alignment readingOrder="0"/>
    </xf>
    <xf borderId="0" fillId="13" fontId="4" numFmtId="0" xfId="0" applyFont="1"/>
    <xf borderId="0" fillId="14" fontId="6" numFmtId="0" xfId="0" applyAlignment="1" applyFill="1" applyFont="1">
      <alignment readingOrder="0"/>
    </xf>
    <xf borderId="0" fillId="0" fontId="6" numFmtId="42" xfId="0" applyFont="1" applyNumberFormat="1"/>
    <xf borderId="0" fillId="13" fontId="10" numFmtId="0" xfId="0" applyAlignment="1" applyFont="1">
      <alignment readingOrder="0"/>
    </xf>
    <xf borderId="0" fillId="13" fontId="10" numFmtId="0" xfId="0" applyFont="1"/>
    <xf borderId="0" fillId="0" fontId="1" numFmtId="42" xfId="0" applyAlignment="1" applyFont="1" applyNumberFormat="1">
      <alignment readingOrder="0"/>
    </xf>
    <xf borderId="0" fillId="10" fontId="10" numFmtId="0" xfId="0" applyAlignment="1" applyFont="1">
      <alignment readingOrder="0"/>
    </xf>
    <xf borderId="0" fillId="10" fontId="10" numFmtId="0" xfId="0" applyFont="1"/>
    <xf borderId="0" fillId="11" fontId="11" numFmtId="0" xfId="0" applyAlignment="1" applyFont="1">
      <alignment readingOrder="0"/>
    </xf>
    <xf borderId="0" fillId="11" fontId="11" numFmtId="0" xfId="0" applyFont="1"/>
    <xf borderId="0" fillId="7" fontId="6" numFmtId="164" xfId="0" applyAlignment="1" applyFont="1" applyNumberFormat="1">
      <alignment readingOrder="0"/>
    </xf>
    <xf borderId="0" fillId="5" fontId="1" numFmtId="164" xfId="0" applyAlignment="1" applyFont="1" applyNumberFormat="1">
      <alignment readingOrder="0"/>
    </xf>
    <xf borderId="0" fillId="12" fontId="1" numFmtId="164" xfId="0" applyFont="1" applyNumberFormat="1"/>
    <xf borderId="0" fillId="9" fontId="6" numFmtId="164" xfId="0" applyFont="1" applyNumberFormat="1"/>
    <xf borderId="0" fillId="14" fontId="11" numFmtId="0" xfId="0" applyAlignment="1" applyFont="1">
      <alignment readingOrder="0"/>
    </xf>
    <xf borderId="0" fillId="14" fontId="11" numFmtId="0" xfId="0" applyFont="1"/>
    <xf borderId="0" fillId="13" fontId="12" numFmtId="0" xfId="0" applyAlignment="1" applyFont="1">
      <alignment readingOrder="0"/>
    </xf>
    <xf borderId="0" fillId="13" fontId="12" numFmtId="0" xfId="0" applyFont="1"/>
    <xf borderId="0" fillId="13" fontId="12" numFmtId="42" xfId="0" applyFont="1" applyNumberFormat="1"/>
    <xf borderId="0" fillId="7" fontId="6" numFmtId="0" xfId="0" applyFont="1"/>
    <xf borderId="0" fillId="7" fontId="6" numFmtId="42" xfId="0" applyAlignment="1" applyFont="1" applyNumberFormat="1">
      <alignment readingOrder="0"/>
    </xf>
    <xf borderId="0" fillId="13" fontId="12" numFmtId="0" xfId="0" applyFont="1"/>
    <xf borderId="0" fillId="13" fontId="12" numFmtId="165" xfId="0" applyFont="1" applyNumberFormat="1"/>
    <xf borderId="0" fillId="0" fontId="6" numFmtId="165" xfId="0" applyFont="1" applyNumberFormat="1"/>
    <xf borderId="0" fillId="0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15" fontId="1" numFmtId="0" xfId="0" applyFill="1" applyFont="1"/>
    <xf borderId="0" fillId="0" fontId="5" numFmtId="0" xfId="0" applyAlignment="1" applyFont="1">
      <alignment readingOrder="0"/>
    </xf>
    <xf borderId="0" fillId="16" fontId="1" numFmtId="0" xfId="0" applyFill="1" applyFont="1"/>
    <xf borderId="0" fillId="14" fontId="1" numFmtId="0" xfId="0" applyAlignment="1" applyFont="1">
      <alignment readingOrder="0"/>
    </xf>
    <xf borderId="0" fillId="6" fontId="5" numFmtId="0" xfId="0" applyFont="1"/>
    <xf borderId="0" fillId="2" fontId="10" numFmtId="0" xfId="0" applyAlignment="1" applyFont="1">
      <alignment readingOrder="0"/>
    </xf>
    <xf borderId="0" fillId="2" fontId="10" numFmtId="0" xfId="0" applyFont="1"/>
    <xf borderId="0" fillId="15" fontId="1" numFmtId="0" xfId="0" applyAlignment="1" applyFont="1">
      <alignment readingOrder="0"/>
    </xf>
    <xf borderId="0" fillId="16" fontId="1" numFmtId="0" xfId="0" applyAlignment="1" applyFont="1">
      <alignment readingOrder="0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25.13"/>
    <col customWidth="1" min="3" max="3" width="10.75"/>
    <col customWidth="1" min="4" max="4" width="12.63"/>
    <col customWidth="1" min="5" max="14" width="11.38"/>
    <col customWidth="1" min="15" max="17" width="10.75"/>
  </cols>
  <sheetData>
    <row r="1">
      <c r="A1" s="1" t="s">
        <v>0</v>
      </c>
    </row>
    <row r="2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B3" s="4" t="s">
        <v>2</v>
      </c>
    </row>
    <row r="5">
      <c r="B5" s="5" t="s">
        <v>3</v>
      </c>
      <c r="C5" s="6"/>
      <c r="D5" s="6"/>
      <c r="F5" s="7" t="s">
        <v>4</v>
      </c>
      <c r="G5" s="8"/>
      <c r="H5" s="8"/>
      <c r="J5" s="7" t="s">
        <v>5</v>
      </c>
      <c r="K5" s="8"/>
      <c r="L5" s="8"/>
      <c r="N5" s="9" t="s">
        <v>6</v>
      </c>
      <c r="O5" s="10"/>
      <c r="P5" s="10"/>
      <c r="Q5" s="10"/>
    </row>
    <row r="6">
      <c r="B6" s="11" t="s">
        <v>7</v>
      </c>
      <c r="D6" s="12"/>
      <c r="F6" s="13" t="s">
        <v>8</v>
      </c>
      <c r="G6" s="13" t="s">
        <v>9</v>
      </c>
      <c r="H6" s="13" t="s">
        <v>10</v>
      </c>
      <c r="J6" s="13" t="s">
        <v>11</v>
      </c>
      <c r="K6" s="13" t="s">
        <v>9</v>
      </c>
      <c r="L6" s="13" t="s">
        <v>10</v>
      </c>
      <c r="N6" s="13" t="s">
        <v>12</v>
      </c>
      <c r="O6" s="13" t="s">
        <v>13</v>
      </c>
      <c r="P6" s="13" t="s">
        <v>14</v>
      </c>
    </row>
    <row r="7">
      <c r="B7" s="11" t="s">
        <v>15</v>
      </c>
      <c r="D7" s="14"/>
      <c r="F7" s="11" t="s">
        <v>16</v>
      </c>
      <c r="G7" s="15" t="str">
        <f>D205</f>
        <v/>
      </c>
      <c r="H7" s="16">
        <f t="shared" ref="H7:H13" si="2">IF($G$13=0,0,G7/$G$13)</f>
        <v>0</v>
      </c>
      <c r="J7" s="11" t="s">
        <v>17</v>
      </c>
      <c r="K7" s="15" t="str">
        <f>D9</f>
        <v/>
      </c>
      <c r="L7" s="16">
        <f t="shared" ref="L7:L13" si="3">IF($K$13=0,0,K7/$K$13)</f>
        <v>0</v>
      </c>
      <c r="N7" s="11" t="s">
        <v>18</v>
      </c>
      <c r="O7" s="17" t="str">
        <f t="shared" ref="O7:P7" si="1">O308</f>
        <v>#DIV/0!</v>
      </c>
      <c r="P7" s="17" t="str">
        <f t="shared" si="1"/>
        <v>#DIV/0!</v>
      </c>
    </row>
    <row r="8">
      <c r="B8" s="11" t="s">
        <v>19</v>
      </c>
      <c r="D8" s="14"/>
      <c r="F8" s="11" t="s">
        <v>20</v>
      </c>
      <c r="G8" s="15" t="str">
        <f>D215</f>
        <v/>
      </c>
      <c r="H8" s="16">
        <f t="shared" si="2"/>
        <v>0</v>
      </c>
      <c r="J8" s="11" t="s">
        <v>21</v>
      </c>
      <c r="K8" s="15" t="str">
        <f t="shared" ref="K8:K12" si="5">D23</f>
        <v/>
      </c>
      <c r="L8" s="16">
        <f t="shared" si="3"/>
        <v>0</v>
      </c>
      <c r="N8" s="11" t="s">
        <v>22</v>
      </c>
      <c r="O8" s="17" t="str">
        <f t="shared" ref="O8:P8" si="4">O309</f>
        <v>#DIV/0!</v>
      </c>
      <c r="P8" s="17" t="str">
        <f t="shared" si="4"/>
        <v>#DIV/0!</v>
      </c>
    </row>
    <row r="9">
      <c r="B9" s="11" t="s">
        <v>17</v>
      </c>
      <c r="D9" s="18"/>
      <c r="F9" s="11" t="s">
        <v>23</v>
      </c>
      <c r="G9" s="15" t="str">
        <f>D225</f>
        <v/>
      </c>
      <c r="H9" s="16">
        <f t="shared" si="2"/>
        <v>0</v>
      </c>
      <c r="J9" s="11" t="s">
        <v>24</v>
      </c>
      <c r="K9" s="15" t="str">
        <f t="shared" si="5"/>
        <v/>
      </c>
      <c r="L9" s="16">
        <f t="shared" si="3"/>
        <v>0</v>
      </c>
      <c r="N9" s="11" t="s">
        <v>25</v>
      </c>
      <c r="O9" s="17" t="str">
        <f t="shared" ref="O9:P9" si="6">O310</f>
        <v>#DIV/0!</v>
      </c>
      <c r="P9" s="17" t="str">
        <f t="shared" si="6"/>
        <v>#DIV/0!</v>
      </c>
    </row>
    <row r="10">
      <c r="B10" s="11" t="s">
        <v>26</v>
      </c>
      <c r="D10" s="15" t="str">
        <f>D9/D7</f>
        <v>#DIV/0!</v>
      </c>
      <c r="F10" s="11" t="s">
        <v>27</v>
      </c>
      <c r="G10" s="15" t="str">
        <f>D233</f>
        <v/>
      </c>
      <c r="H10" s="16">
        <f t="shared" si="2"/>
        <v>0</v>
      </c>
      <c r="J10" s="11" t="s">
        <v>28</v>
      </c>
      <c r="K10" s="15" t="str">
        <f t="shared" si="5"/>
        <v/>
      </c>
      <c r="L10" s="16">
        <f t="shared" si="3"/>
        <v>0</v>
      </c>
      <c r="N10" s="11" t="s">
        <v>29</v>
      </c>
      <c r="O10" s="19">
        <f t="shared" ref="O10:P10" si="7">O311</f>
        <v>0</v>
      </c>
      <c r="P10" s="19">
        <f t="shared" si="7"/>
        <v>0</v>
      </c>
    </row>
    <row r="11">
      <c r="B11" s="11" t="s">
        <v>30</v>
      </c>
      <c r="D11" s="15" t="str">
        <f>D9/D8</f>
        <v>#DIV/0!</v>
      </c>
      <c r="F11" s="11" t="s">
        <v>31</v>
      </c>
      <c r="G11" s="15">
        <f t="shared" ref="G11:G12" si="9">D276</f>
        <v>0</v>
      </c>
      <c r="H11" s="16">
        <f t="shared" si="2"/>
        <v>0</v>
      </c>
      <c r="J11" s="11" t="s">
        <v>32</v>
      </c>
      <c r="K11" s="15" t="str">
        <f t="shared" si="5"/>
        <v/>
      </c>
      <c r="L11" s="16">
        <f t="shared" si="3"/>
        <v>0</v>
      </c>
      <c r="N11" s="11" t="s">
        <v>33</v>
      </c>
      <c r="O11" s="19">
        <f t="shared" ref="O11:P11" si="8">O312</f>
        <v>0</v>
      </c>
      <c r="P11" s="19">
        <f t="shared" si="8"/>
        <v>0</v>
      </c>
    </row>
    <row r="12">
      <c r="B12" s="11" t="s">
        <v>34</v>
      </c>
      <c r="D12" s="15" t="str">
        <f>E195</f>
        <v>#DIV/0!</v>
      </c>
      <c r="F12" s="11" t="s">
        <v>35</v>
      </c>
      <c r="G12" s="15">
        <f t="shared" si="9"/>
        <v>0</v>
      </c>
      <c r="H12" s="16">
        <f t="shared" si="2"/>
        <v>0</v>
      </c>
      <c r="J12" s="11" t="s">
        <v>36</v>
      </c>
      <c r="K12" s="15" t="str">
        <f t="shared" si="5"/>
        <v/>
      </c>
      <c r="L12" s="16">
        <f t="shared" si="3"/>
        <v>0</v>
      </c>
      <c r="N12" s="11" t="s">
        <v>37</v>
      </c>
      <c r="O12" s="19">
        <f t="shared" ref="O12:P12" si="10">O313</f>
        <v>0</v>
      </c>
      <c r="P12" s="19">
        <f t="shared" si="10"/>
        <v>0</v>
      </c>
    </row>
    <row r="13">
      <c r="B13" s="11" t="s">
        <v>38</v>
      </c>
      <c r="D13" s="17">
        <f>IF(D9=0,0,D12/D9)</f>
        <v>0</v>
      </c>
      <c r="F13" s="13" t="s">
        <v>39</v>
      </c>
      <c r="G13" s="20">
        <f>SUM(G7:G12)</f>
        <v>0</v>
      </c>
      <c r="H13" s="21">
        <f t="shared" si="2"/>
        <v>0</v>
      </c>
      <c r="J13" s="13" t="s">
        <v>40</v>
      </c>
      <c r="K13" s="20">
        <f>SUM(K7:K12)</f>
        <v>0</v>
      </c>
      <c r="L13" s="21">
        <f t="shared" si="3"/>
        <v>0</v>
      </c>
      <c r="N13" s="11" t="s">
        <v>41</v>
      </c>
      <c r="O13" s="17">
        <f t="shared" ref="O13:P13" si="11">O314</f>
        <v>0</v>
      </c>
      <c r="P13" s="17">
        <f t="shared" si="11"/>
        <v>0</v>
      </c>
    </row>
    <row r="14">
      <c r="B14" s="11" t="s">
        <v>42</v>
      </c>
      <c r="D14" s="17">
        <f>IF(D9=0,0,F195/D9)</f>
        <v>0</v>
      </c>
    </row>
    <row r="16">
      <c r="B16" s="22" t="s">
        <v>43</v>
      </c>
      <c r="F16" s="23"/>
    </row>
    <row r="17">
      <c r="B17" s="23"/>
      <c r="C17" s="23"/>
      <c r="D17" s="23"/>
      <c r="F17" s="23"/>
      <c r="G17" s="23"/>
      <c r="H17" s="23"/>
    </row>
    <row r="18">
      <c r="B18" s="24" t="s">
        <v>44</v>
      </c>
      <c r="C18" s="25"/>
      <c r="D18" s="25"/>
      <c r="E18" s="26"/>
      <c r="F18" s="27"/>
      <c r="G18" s="28"/>
      <c r="H18" s="29"/>
    </row>
    <row r="19">
      <c r="B19" s="13" t="s">
        <v>45</v>
      </c>
      <c r="C19" s="30"/>
      <c r="D19" s="30"/>
      <c r="F19" s="13" t="s">
        <v>46</v>
      </c>
      <c r="G19" s="20"/>
      <c r="H19" s="21"/>
      <c r="J19" s="13" t="s">
        <v>47</v>
      </c>
      <c r="K19" s="31"/>
      <c r="L19" s="31"/>
    </row>
    <row r="20">
      <c r="B20" s="11" t="s">
        <v>48</v>
      </c>
      <c r="C20" s="17"/>
      <c r="D20" s="32"/>
      <c r="F20" s="11" t="s">
        <v>49</v>
      </c>
      <c r="G20" s="15"/>
      <c r="H20" s="33"/>
      <c r="J20" s="11" t="s">
        <v>50</v>
      </c>
      <c r="L20" s="33"/>
    </row>
    <row r="21">
      <c r="B21" s="11" t="s">
        <v>51</v>
      </c>
      <c r="C21" s="19"/>
      <c r="D21" s="14"/>
      <c r="F21" s="11" t="s">
        <v>52</v>
      </c>
      <c r="G21" s="15"/>
      <c r="H21" s="33"/>
      <c r="J21" s="11" t="s">
        <v>53</v>
      </c>
      <c r="L21" s="18"/>
    </row>
    <row r="22">
      <c r="B22" s="11" t="s">
        <v>54</v>
      </c>
      <c r="C22" s="19"/>
      <c r="D22" s="14"/>
      <c r="F22" s="11" t="s">
        <v>55</v>
      </c>
      <c r="G22" s="15"/>
      <c r="H22" s="33"/>
      <c r="J22" s="11" t="s">
        <v>56</v>
      </c>
      <c r="L22" s="15">
        <f>D7*L21</f>
        <v>0</v>
      </c>
    </row>
    <row r="23">
      <c r="B23" s="11" t="s">
        <v>21</v>
      </c>
      <c r="C23" s="19"/>
      <c r="D23" s="18"/>
      <c r="F23" s="11" t="s">
        <v>57</v>
      </c>
      <c r="G23" s="15"/>
      <c r="H23" s="33"/>
      <c r="J23" s="11" t="s">
        <v>58</v>
      </c>
      <c r="L23" s="18"/>
    </row>
    <row r="24">
      <c r="B24" s="11" t="s">
        <v>24</v>
      </c>
      <c r="C24" s="17"/>
      <c r="D24" s="18"/>
      <c r="F24" s="11" t="s">
        <v>59</v>
      </c>
      <c r="G24" s="15"/>
      <c r="H24" s="33"/>
      <c r="J24" s="11" t="s">
        <v>60</v>
      </c>
      <c r="L24" s="18"/>
    </row>
    <row r="25">
      <c r="B25" s="11" t="s">
        <v>61</v>
      </c>
      <c r="D25" s="18"/>
      <c r="F25" s="11" t="s">
        <v>62</v>
      </c>
      <c r="H25" s="33"/>
      <c r="J25" s="11" t="s">
        <v>63</v>
      </c>
      <c r="L25" s="34">
        <f>L24+L23</f>
        <v>0</v>
      </c>
    </row>
    <row r="26">
      <c r="B26" s="11" t="s">
        <v>32</v>
      </c>
      <c r="D26" s="18"/>
      <c r="F26" s="11" t="s">
        <v>64</v>
      </c>
      <c r="H26" s="33"/>
    </row>
    <row r="27">
      <c r="B27" s="11" t="s">
        <v>36</v>
      </c>
      <c r="D27" s="18"/>
      <c r="F27" s="11" t="s">
        <v>65</v>
      </c>
      <c r="H27" s="33"/>
    </row>
    <row r="29">
      <c r="B29" s="22" t="s">
        <v>43</v>
      </c>
    </row>
    <row r="31">
      <c r="B31" s="24" t="s">
        <v>66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7" t="s">
        <v>67</v>
      </c>
      <c r="N31" s="8"/>
      <c r="O31" s="8"/>
      <c r="P31" s="8"/>
    </row>
    <row r="32">
      <c r="B32" s="13" t="s">
        <v>68</v>
      </c>
      <c r="C32" s="13" t="s">
        <v>69</v>
      </c>
      <c r="D32" s="13" t="s">
        <v>70</v>
      </c>
      <c r="E32" s="13" t="s">
        <v>71</v>
      </c>
      <c r="F32" s="13" t="s">
        <v>72</v>
      </c>
      <c r="G32" s="13" t="s">
        <v>73</v>
      </c>
      <c r="H32" s="13" t="s">
        <v>74</v>
      </c>
      <c r="I32" s="13" t="s">
        <v>75</v>
      </c>
      <c r="J32" s="13" t="s">
        <v>76</v>
      </c>
      <c r="K32" s="13" t="s">
        <v>77</v>
      </c>
      <c r="M32" s="13" t="s">
        <v>78</v>
      </c>
      <c r="N32" s="13" t="s">
        <v>79</v>
      </c>
      <c r="O32" s="13" t="s">
        <v>80</v>
      </c>
      <c r="P32" s="13" t="s">
        <v>81</v>
      </c>
    </row>
    <row r="33">
      <c r="B33" s="23"/>
      <c r="C33" s="23"/>
      <c r="D33" s="35"/>
      <c r="E33" s="23"/>
      <c r="F33" s="15"/>
      <c r="G33" s="15"/>
      <c r="H33" s="15">
        <f t="shared" ref="H33:H134" si="12">F33-G33</f>
        <v>0</v>
      </c>
      <c r="I33" s="36"/>
      <c r="J33" s="36"/>
      <c r="K33" s="23"/>
      <c r="M33" s="11" t="s">
        <v>82</v>
      </c>
      <c r="N33" s="37">
        <f>COUNTIF(C33:C134,"1BR/1BA")</f>
        <v>0</v>
      </c>
      <c r="O33" s="35" t="str">
        <f>AVERAGEIF(C33:C134,"1BR/1BA",D33:D134)</f>
        <v>#DIV/0!</v>
      </c>
      <c r="P33" s="15" t="str">
        <f>AVERAGEIF(C33:C134,"1BR/1BA",F33:F134)</f>
        <v>#DIV/0!</v>
      </c>
    </row>
    <row r="34">
      <c r="B34" s="23"/>
      <c r="C34" s="23"/>
      <c r="D34" s="35"/>
      <c r="E34" s="23"/>
      <c r="F34" s="15"/>
      <c r="G34" s="15"/>
      <c r="H34" s="15">
        <f t="shared" si="12"/>
        <v>0</v>
      </c>
      <c r="I34" s="36"/>
      <c r="J34" s="36"/>
      <c r="K34" s="23"/>
      <c r="M34" s="11" t="s">
        <v>83</v>
      </c>
      <c r="N34" s="37">
        <f>COUNTIF(C33:C134,"2BR/1BA")</f>
        <v>0</v>
      </c>
      <c r="O34" s="35" t="str">
        <f>AVERAGEIF(C33:C134,"2BR/1BA",D33:D134)</f>
        <v>#DIV/0!</v>
      </c>
      <c r="P34" s="15" t="str">
        <f>AVERAGEIF(C33:C134,"2BR/1BA",F33:F134)</f>
        <v>#DIV/0!</v>
      </c>
    </row>
    <row r="35">
      <c r="B35" s="23"/>
      <c r="C35" s="23"/>
      <c r="D35" s="35"/>
      <c r="E35" s="23"/>
      <c r="F35" s="15"/>
      <c r="G35" s="15"/>
      <c r="H35" s="15">
        <f t="shared" si="12"/>
        <v>0</v>
      </c>
      <c r="I35" s="36"/>
      <c r="J35" s="36"/>
      <c r="K35" s="23"/>
      <c r="M35" s="11" t="s">
        <v>84</v>
      </c>
      <c r="N35" s="37">
        <f>COUNTIF(C33:C134,"2BR/2BA")</f>
        <v>0</v>
      </c>
      <c r="O35" s="35">
        <f>IFERROR(AVERAGEIF(C33:C134,"2BR/2BA",D33:D134),0)</f>
        <v>0</v>
      </c>
      <c r="P35" s="15">
        <f>IFERROR(AVERAGEIF(C33:C134,"2BR/2BA",F33:F134),0)</f>
        <v>0</v>
      </c>
    </row>
    <row r="36">
      <c r="B36" s="23"/>
      <c r="C36" s="23"/>
      <c r="D36" s="35"/>
      <c r="E36" s="23"/>
      <c r="F36" s="15"/>
      <c r="G36" s="15"/>
      <c r="H36" s="15">
        <f t="shared" si="12"/>
        <v>0</v>
      </c>
      <c r="I36" s="36"/>
      <c r="J36" s="36"/>
      <c r="K36" s="23"/>
      <c r="M36" s="13" t="s">
        <v>85</v>
      </c>
      <c r="N36" s="31">
        <f>SUM(N33:N35)</f>
        <v>0</v>
      </c>
      <c r="O36" s="38">
        <f>IF(N36=0,0,D135/N36)</f>
        <v>0</v>
      </c>
      <c r="P36" s="20">
        <f>IF(N36=0,0,F135/N36)</f>
        <v>0</v>
      </c>
    </row>
    <row r="37">
      <c r="B37" s="23"/>
      <c r="C37" s="23"/>
      <c r="D37" s="35"/>
      <c r="E37" s="23"/>
      <c r="F37" s="15"/>
      <c r="G37" s="15"/>
      <c r="H37" s="15">
        <f t="shared" si="12"/>
        <v>0</v>
      </c>
      <c r="I37" s="36"/>
      <c r="J37" s="36"/>
      <c r="K37" s="23"/>
    </row>
    <row r="38">
      <c r="B38" s="23"/>
      <c r="C38" s="23"/>
      <c r="D38" s="35"/>
      <c r="E38" s="23"/>
      <c r="F38" s="15"/>
      <c r="G38" s="15"/>
      <c r="H38" s="15">
        <f t="shared" si="12"/>
        <v>0</v>
      </c>
      <c r="I38" s="36"/>
      <c r="J38" s="36"/>
      <c r="K38" s="23"/>
      <c r="M38" s="7" t="s">
        <v>86</v>
      </c>
      <c r="N38" s="8"/>
      <c r="O38" s="8"/>
      <c r="P38" s="8"/>
    </row>
    <row r="39">
      <c r="B39" s="23"/>
      <c r="C39" s="23"/>
      <c r="D39" s="35"/>
      <c r="E39" s="23"/>
      <c r="F39" s="15"/>
      <c r="G39" s="15"/>
      <c r="H39" s="15">
        <f t="shared" si="12"/>
        <v>0</v>
      </c>
      <c r="I39" s="36"/>
      <c r="J39" s="36"/>
      <c r="K39" s="23"/>
      <c r="M39" s="13" t="s">
        <v>71</v>
      </c>
      <c r="N39" s="13" t="s">
        <v>79</v>
      </c>
      <c r="O39" s="13" t="s">
        <v>87</v>
      </c>
      <c r="P39" s="13" t="s">
        <v>81</v>
      </c>
    </row>
    <row r="40">
      <c r="B40" s="23"/>
      <c r="C40" s="23"/>
      <c r="D40" s="35"/>
      <c r="E40" s="23"/>
      <c r="F40" s="15"/>
      <c r="G40" s="15"/>
      <c r="H40" s="15">
        <f t="shared" si="12"/>
        <v>0</v>
      </c>
      <c r="I40" s="36"/>
      <c r="J40" s="36"/>
      <c r="K40" s="23"/>
      <c r="M40" s="11" t="s">
        <v>88</v>
      </c>
      <c r="N40" s="37">
        <f>COUNTIF(E33:E134,"Renovated")</f>
        <v>0</v>
      </c>
      <c r="O40" s="16">
        <f t="shared" ref="O40:O42" si="13">IF($N$36=0,0,N40/$N$36)</f>
        <v>0</v>
      </c>
      <c r="P40" s="15" t="str">
        <f>AVERAGEIF(E33:E134,"Renovated",F33:F134)</f>
        <v>#DIV/0!</v>
      </c>
    </row>
    <row r="41">
      <c r="B41" s="23"/>
      <c r="C41" s="23"/>
      <c r="D41" s="35"/>
      <c r="E41" s="23"/>
      <c r="F41" s="15"/>
      <c r="G41" s="15"/>
      <c r="H41" s="15">
        <f t="shared" si="12"/>
        <v>0</v>
      </c>
      <c r="I41" s="36"/>
      <c r="J41" s="36"/>
      <c r="K41" s="23"/>
      <c r="M41" s="11" t="s">
        <v>89</v>
      </c>
      <c r="N41" s="37">
        <f>COUNTIF(E33:E134,"Classic")</f>
        <v>0</v>
      </c>
      <c r="O41" s="16">
        <f t="shared" si="13"/>
        <v>0</v>
      </c>
      <c r="P41" s="15" t="str">
        <f>AVERAGEIF(E33:E134,"Classic",F33:F134)</f>
        <v>#DIV/0!</v>
      </c>
    </row>
    <row r="42">
      <c r="B42" s="23"/>
      <c r="C42" s="23"/>
      <c r="D42" s="35"/>
      <c r="E42" s="23"/>
      <c r="F42" s="15"/>
      <c r="G42" s="15"/>
      <c r="H42" s="15">
        <f t="shared" si="12"/>
        <v>0</v>
      </c>
      <c r="I42" s="36"/>
      <c r="J42" s="36"/>
      <c r="K42" s="23"/>
      <c r="M42" s="11" t="s">
        <v>90</v>
      </c>
      <c r="N42" s="37">
        <f>COUNTIF(E33:E134,"Vacant")</f>
        <v>0</v>
      </c>
      <c r="O42" s="16">
        <f t="shared" si="13"/>
        <v>0</v>
      </c>
      <c r="P42" s="15">
        <f>IFERROR(AVERAGEIF(E33:E134,"Vacant",F33:F134),0)</f>
        <v>0</v>
      </c>
    </row>
    <row r="43">
      <c r="B43" s="23"/>
      <c r="C43" s="23"/>
      <c r="D43" s="35"/>
      <c r="E43" s="23"/>
      <c r="F43" s="15"/>
      <c r="G43" s="15"/>
      <c r="H43" s="15">
        <f t="shared" si="12"/>
        <v>0</v>
      </c>
      <c r="I43" s="36"/>
      <c r="J43" s="36"/>
      <c r="K43" s="23"/>
    </row>
    <row r="44">
      <c r="B44" s="23"/>
      <c r="C44" s="23"/>
      <c r="D44" s="35"/>
      <c r="E44" s="23"/>
      <c r="F44" s="15"/>
      <c r="G44" s="15"/>
      <c r="H44" s="15">
        <f t="shared" si="12"/>
        <v>0</v>
      </c>
      <c r="I44" s="36"/>
      <c r="J44" s="36"/>
      <c r="K44" s="23"/>
    </row>
    <row r="45">
      <c r="B45" s="23"/>
      <c r="C45" s="23"/>
      <c r="D45" s="35"/>
      <c r="E45" s="23"/>
      <c r="F45" s="15"/>
      <c r="G45" s="15"/>
      <c r="H45" s="15">
        <f t="shared" si="12"/>
        <v>0</v>
      </c>
      <c r="I45" s="36"/>
      <c r="J45" s="36"/>
      <c r="K45" s="23"/>
    </row>
    <row r="46">
      <c r="B46" s="23"/>
      <c r="C46" s="23"/>
      <c r="D46" s="35"/>
      <c r="E46" s="23"/>
      <c r="F46" s="15"/>
      <c r="G46" s="15"/>
      <c r="H46" s="15">
        <f t="shared" si="12"/>
        <v>0</v>
      </c>
      <c r="I46" s="36"/>
      <c r="J46" s="36"/>
      <c r="K46" s="23"/>
    </row>
    <row r="47">
      <c r="B47" s="23"/>
      <c r="C47" s="23"/>
      <c r="D47" s="35"/>
      <c r="E47" s="23"/>
      <c r="F47" s="15"/>
      <c r="G47" s="15"/>
      <c r="H47" s="15">
        <f t="shared" si="12"/>
        <v>0</v>
      </c>
      <c r="I47" s="36"/>
      <c r="J47" s="36"/>
      <c r="K47" s="23"/>
    </row>
    <row r="48">
      <c r="B48" s="23"/>
      <c r="C48" s="23"/>
      <c r="D48" s="35"/>
      <c r="E48" s="23"/>
      <c r="F48" s="15"/>
      <c r="G48" s="15"/>
      <c r="H48" s="15">
        <f t="shared" si="12"/>
        <v>0</v>
      </c>
      <c r="I48" s="36"/>
      <c r="J48" s="36"/>
      <c r="K48" s="23"/>
    </row>
    <row r="49">
      <c r="B49" s="23"/>
      <c r="C49" s="23"/>
      <c r="D49" s="35"/>
      <c r="E49" s="23"/>
      <c r="F49" s="15"/>
      <c r="G49" s="15"/>
      <c r="H49" s="15">
        <f t="shared" si="12"/>
        <v>0</v>
      </c>
      <c r="I49" s="36"/>
      <c r="J49" s="36"/>
      <c r="K49" s="23"/>
    </row>
    <row r="50">
      <c r="B50" s="23"/>
      <c r="C50" s="23"/>
      <c r="D50" s="35"/>
      <c r="E50" s="23"/>
      <c r="F50" s="15"/>
      <c r="G50" s="15"/>
      <c r="H50" s="15">
        <f t="shared" si="12"/>
        <v>0</v>
      </c>
      <c r="I50" s="36"/>
      <c r="J50" s="36"/>
      <c r="K50" s="23"/>
    </row>
    <row r="51">
      <c r="B51" s="23"/>
      <c r="C51" s="23"/>
      <c r="D51" s="35"/>
      <c r="E51" s="23"/>
      <c r="F51" s="15"/>
      <c r="G51" s="15"/>
      <c r="H51" s="15">
        <f t="shared" si="12"/>
        <v>0</v>
      </c>
      <c r="I51" s="36"/>
      <c r="J51" s="36"/>
      <c r="K51" s="23"/>
    </row>
    <row r="52">
      <c r="B52" s="23"/>
      <c r="C52" s="23"/>
      <c r="D52" s="35"/>
      <c r="E52" s="23"/>
      <c r="F52" s="15"/>
      <c r="G52" s="15"/>
      <c r="H52" s="15">
        <f t="shared" si="12"/>
        <v>0</v>
      </c>
      <c r="I52" s="36"/>
      <c r="J52" s="36"/>
      <c r="K52" s="23"/>
    </row>
    <row r="53">
      <c r="B53" s="23"/>
      <c r="C53" s="23"/>
      <c r="D53" s="35"/>
      <c r="E53" s="23"/>
      <c r="F53" s="15"/>
      <c r="G53" s="15"/>
      <c r="H53" s="15">
        <f t="shared" si="12"/>
        <v>0</v>
      </c>
      <c r="I53" s="36"/>
      <c r="J53" s="36"/>
      <c r="K53" s="23"/>
    </row>
    <row r="54">
      <c r="B54" s="23"/>
      <c r="C54" s="23"/>
      <c r="D54" s="35"/>
      <c r="E54" s="23"/>
      <c r="F54" s="15"/>
      <c r="G54" s="15"/>
      <c r="H54" s="15">
        <f t="shared" si="12"/>
        <v>0</v>
      </c>
      <c r="I54" s="36"/>
      <c r="J54" s="36"/>
      <c r="K54" s="23"/>
    </row>
    <row r="55">
      <c r="B55" s="23"/>
      <c r="C55" s="23"/>
      <c r="D55" s="35"/>
      <c r="E55" s="23"/>
      <c r="F55" s="15"/>
      <c r="G55" s="15"/>
      <c r="H55" s="15">
        <f t="shared" si="12"/>
        <v>0</v>
      </c>
      <c r="I55" s="36"/>
      <c r="J55" s="36"/>
      <c r="K55" s="23"/>
    </row>
    <row r="56">
      <c r="B56" s="23"/>
      <c r="C56" s="23"/>
      <c r="D56" s="35"/>
      <c r="E56" s="23"/>
      <c r="F56" s="15"/>
      <c r="G56" s="15"/>
      <c r="H56" s="15">
        <f t="shared" si="12"/>
        <v>0</v>
      </c>
      <c r="I56" s="36"/>
      <c r="J56" s="36"/>
      <c r="K56" s="23"/>
    </row>
    <row r="57">
      <c r="B57" s="23"/>
      <c r="C57" s="23"/>
      <c r="D57" s="35"/>
      <c r="E57" s="23"/>
      <c r="F57" s="15"/>
      <c r="G57" s="15"/>
      <c r="H57" s="15">
        <f t="shared" si="12"/>
        <v>0</v>
      </c>
      <c r="I57" s="39"/>
    </row>
    <row r="58">
      <c r="B58" s="23"/>
      <c r="C58" s="23"/>
      <c r="D58" s="35"/>
      <c r="E58" s="23"/>
      <c r="F58" s="15"/>
      <c r="G58" s="15"/>
      <c r="H58" s="20">
        <f t="shared" si="12"/>
        <v>0</v>
      </c>
      <c r="I58" s="39"/>
    </row>
    <row r="59">
      <c r="B59" s="23"/>
      <c r="C59" s="23"/>
      <c r="D59" s="35"/>
      <c r="E59" s="23"/>
      <c r="F59" s="15"/>
      <c r="G59" s="15"/>
      <c r="H59" s="20">
        <f t="shared" si="12"/>
        <v>0</v>
      </c>
      <c r="I59" s="39"/>
    </row>
    <row r="60">
      <c r="B60" s="23"/>
      <c r="C60" s="23"/>
      <c r="D60" s="35"/>
      <c r="E60" s="23"/>
      <c r="F60" s="15"/>
      <c r="G60" s="15"/>
      <c r="H60" s="20">
        <f t="shared" si="12"/>
        <v>0</v>
      </c>
      <c r="I60" s="39"/>
    </row>
    <row r="61">
      <c r="B61" s="23"/>
      <c r="C61" s="23"/>
      <c r="D61" s="35"/>
      <c r="E61" s="23"/>
      <c r="F61" s="15"/>
      <c r="G61" s="15"/>
      <c r="H61" s="20">
        <f t="shared" si="12"/>
        <v>0</v>
      </c>
      <c r="I61" s="39"/>
    </row>
    <row r="62">
      <c r="B62" s="23"/>
      <c r="C62" s="23"/>
      <c r="D62" s="35"/>
      <c r="E62" s="23"/>
      <c r="F62" s="15"/>
      <c r="G62" s="15"/>
      <c r="H62" s="20">
        <f t="shared" si="12"/>
        <v>0</v>
      </c>
      <c r="I62" s="39"/>
    </row>
    <row r="63">
      <c r="B63" s="23"/>
      <c r="C63" s="23"/>
      <c r="D63" s="35"/>
      <c r="E63" s="23"/>
      <c r="F63" s="15"/>
      <c r="G63" s="15"/>
      <c r="H63" s="20">
        <f t="shared" si="12"/>
        <v>0</v>
      </c>
      <c r="I63" s="39"/>
    </row>
    <row r="64">
      <c r="B64" s="23"/>
      <c r="C64" s="23"/>
      <c r="D64" s="35"/>
      <c r="E64" s="23"/>
      <c r="F64" s="15"/>
      <c r="G64" s="15"/>
      <c r="H64" s="20">
        <f t="shared" si="12"/>
        <v>0</v>
      </c>
      <c r="I64" s="39"/>
    </row>
    <row r="65">
      <c r="B65" s="23"/>
      <c r="C65" s="23"/>
      <c r="D65" s="35"/>
      <c r="E65" s="23"/>
      <c r="F65" s="15"/>
      <c r="G65" s="15"/>
      <c r="H65" s="20">
        <f t="shared" si="12"/>
        <v>0</v>
      </c>
      <c r="I65" s="39"/>
    </row>
    <row r="66">
      <c r="B66" s="23"/>
      <c r="C66" s="23"/>
      <c r="D66" s="35"/>
      <c r="E66" s="23"/>
      <c r="F66" s="15"/>
      <c r="G66" s="15"/>
      <c r="H66" s="20">
        <f t="shared" si="12"/>
        <v>0</v>
      </c>
      <c r="I66" s="39"/>
    </row>
    <row r="67">
      <c r="B67" s="23"/>
      <c r="C67" s="23"/>
      <c r="D67" s="35"/>
      <c r="E67" s="23"/>
      <c r="F67" s="15"/>
      <c r="G67" s="15"/>
      <c r="H67" s="20">
        <f t="shared" si="12"/>
        <v>0</v>
      </c>
      <c r="I67" s="39"/>
    </row>
    <row r="68">
      <c r="B68" s="23"/>
      <c r="C68" s="23"/>
      <c r="D68" s="35"/>
      <c r="E68" s="23"/>
      <c r="F68" s="15"/>
      <c r="G68" s="15"/>
      <c r="H68" s="20">
        <f t="shared" si="12"/>
        <v>0</v>
      </c>
      <c r="I68" s="39"/>
    </row>
    <row r="69">
      <c r="B69" s="23"/>
      <c r="C69" s="23"/>
      <c r="D69" s="35"/>
      <c r="E69" s="23"/>
      <c r="F69" s="15"/>
      <c r="G69" s="15"/>
      <c r="H69" s="20">
        <f t="shared" si="12"/>
        <v>0</v>
      </c>
    </row>
    <row r="70">
      <c r="B70" s="23"/>
      <c r="C70" s="23"/>
      <c r="D70" s="35"/>
      <c r="E70" s="23"/>
      <c r="F70" s="15"/>
      <c r="G70" s="15"/>
      <c r="H70" s="20">
        <f t="shared" si="12"/>
        <v>0</v>
      </c>
      <c r="I70" s="39"/>
    </row>
    <row r="71">
      <c r="B71" s="23"/>
      <c r="C71" s="23"/>
      <c r="D71" s="35"/>
      <c r="E71" s="23"/>
      <c r="F71" s="15"/>
      <c r="G71" s="15"/>
      <c r="H71" s="20">
        <f t="shared" si="12"/>
        <v>0</v>
      </c>
      <c r="I71" s="39"/>
    </row>
    <row r="72">
      <c r="B72" s="23"/>
      <c r="C72" s="23"/>
      <c r="D72" s="35"/>
      <c r="E72" s="23"/>
      <c r="F72" s="15"/>
      <c r="G72" s="15"/>
      <c r="H72" s="20">
        <f t="shared" si="12"/>
        <v>0</v>
      </c>
      <c r="I72" s="39"/>
    </row>
    <row r="73">
      <c r="B73" s="23"/>
      <c r="C73" s="23"/>
      <c r="D73" s="35"/>
      <c r="E73" s="23"/>
      <c r="F73" s="15"/>
      <c r="G73" s="15"/>
      <c r="H73" s="20">
        <f t="shared" si="12"/>
        <v>0</v>
      </c>
      <c r="I73" s="39"/>
    </row>
    <row r="74">
      <c r="B74" s="23"/>
      <c r="C74" s="23"/>
      <c r="D74" s="35"/>
      <c r="E74" s="23"/>
      <c r="F74" s="15"/>
      <c r="G74" s="15"/>
      <c r="H74" s="20">
        <f t="shared" si="12"/>
        <v>0</v>
      </c>
      <c r="I74" s="39"/>
    </row>
    <row r="75">
      <c r="B75" s="23"/>
      <c r="C75" s="23"/>
      <c r="D75" s="35"/>
      <c r="E75" s="23"/>
      <c r="F75" s="15"/>
      <c r="G75" s="15"/>
      <c r="H75" s="20">
        <f t="shared" si="12"/>
        <v>0</v>
      </c>
      <c r="I75" s="39"/>
    </row>
    <row r="76">
      <c r="B76" s="23"/>
      <c r="C76" s="23"/>
      <c r="D76" s="35"/>
      <c r="E76" s="23"/>
      <c r="F76" s="15"/>
      <c r="G76" s="15"/>
      <c r="H76" s="20">
        <f t="shared" si="12"/>
        <v>0</v>
      </c>
      <c r="I76" s="39"/>
    </row>
    <row r="77">
      <c r="B77" s="23"/>
      <c r="C77" s="23"/>
      <c r="D77" s="35"/>
      <c r="E77" s="23"/>
      <c r="F77" s="15"/>
      <c r="G77" s="15"/>
      <c r="H77" s="20">
        <f t="shared" si="12"/>
        <v>0</v>
      </c>
      <c r="I77" s="39"/>
    </row>
    <row r="78">
      <c r="B78" s="23"/>
      <c r="C78" s="23"/>
      <c r="D78" s="35"/>
      <c r="E78" s="23"/>
      <c r="F78" s="15"/>
      <c r="G78" s="15"/>
      <c r="H78" s="20">
        <f t="shared" si="12"/>
        <v>0</v>
      </c>
      <c r="I78" s="39"/>
    </row>
    <row r="79">
      <c r="B79" s="23"/>
      <c r="C79" s="23"/>
      <c r="D79" s="35"/>
      <c r="E79" s="23"/>
      <c r="F79" s="15"/>
      <c r="G79" s="15"/>
      <c r="H79" s="20">
        <f t="shared" si="12"/>
        <v>0</v>
      </c>
    </row>
    <row r="80">
      <c r="B80" s="23"/>
      <c r="C80" s="23"/>
      <c r="D80" s="35"/>
      <c r="E80" s="23"/>
      <c r="F80" s="15"/>
      <c r="G80" s="15"/>
      <c r="H80" s="20">
        <f t="shared" si="12"/>
        <v>0</v>
      </c>
      <c r="I80" s="39"/>
    </row>
    <row r="81">
      <c r="B81" s="23"/>
      <c r="C81" s="23"/>
      <c r="D81" s="35"/>
      <c r="E81" s="23"/>
      <c r="F81" s="15"/>
      <c r="G81" s="15"/>
      <c r="H81" s="20">
        <f t="shared" si="12"/>
        <v>0</v>
      </c>
      <c r="I81" s="39"/>
    </row>
    <row r="82">
      <c r="B82" s="23"/>
      <c r="C82" s="23"/>
      <c r="D82" s="35"/>
      <c r="E82" s="23"/>
      <c r="F82" s="15"/>
      <c r="G82" s="15"/>
      <c r="H82" s="20">
        <f t="shared" si="12"/>
        <v>0</v>
      </c>
      <c r="I82" s="39"/>
    </row>
    <row r="83">
      <c r="B83" s="23"/>
      <c r="C83" s="23"/>
      <c r="D83" s="35"/>
      <c r="E83" s="23"/>
      <c r="F83" s="15"/>
      <c r="G83" s="15"/>
      <c r="H83" s="20">
        <f t="shared" si="12"/>
        <v>0</v>
      </c>
      <c r="I83" s="39"/>
    </row>
    <row r="84">
      <c r="B84" s="23"/>
      <c r="C84" s="23"/>
      <c r="D84" s="35"/>
      <c r="E84" s="23"/>
      <c r="F84" s="15"/>
      <c r="G84" s="15"/>
      <c r="H84" s="20">
        <f t="shared" si="12"/>
        <v>0</v>
      </c>
      <c r="I84" s="39"/>
    </row>
    <row r="85">
      <c r="B85" s="23"/>
      <c r="C85" s="23"/>
      <c r="D85" s="35"/>
      <c r="E85" s="23"/>
      <c r="F85" s="15"/>
      <c r="G85" s="15"/>
      <c r="H85" s="20">
        <f t="shared" si="12"/>
        <v>0</v>
      </c>
      <c r="I85" s="39"/>
    </row>
    <row r="86">
      <c r="B86" s="23"/>
      <c r="C86" s="23"/>
      <c r="D86" s="35"/>
      <c r="E86" s="23"/>
      <c r="F86" s="15"/>
      <c r="G86" s="15"/>
      <c r="H86" s="20">
        <f t="shared" si="12"/>
        <v>0</v>
      </c>
      <c r="I86" s="39"/>
    </row>
    <row r="87">
      <c r="B87" s="23"/>
      <c r="C87" s="23"/>
      <c r="D87" s="35"/>
      <c r="E87" s="23"/>
      <c r="F87" s="15"/>
      <c r="G87" s="15"/>
      <c r="H87" s="20">
        <f t="shared" si="12"/>
        <v>0</v>
      </c>
      <c r="I87" s="39"/>
    </row>
    <row r="88">
      <c r="B88" s="23"/>
      <c r="C88" s="23"/>
      <c r="D88" s="35"/>
      <c r="E88" s="23"/>
      <c r="F88" s="15"/>
      <c r="G88" s="15"/>
      <c r="H88" s="20">
        <f t="shared" si="12"/>
        <v>0</v>
      </c>
      <c r="I88" s="39"/>
    </row>
    <row r="89">
      <c r="B89" s="23"/>
      <c r="C89" s="23"/>
      <c r="D89" s="35"/>
      <c r="E89" s="23"/>
      <c r="F89" s="15"/>
      <c r="G89" s="15"/>
      <c r="H89" s="20">
        <f t="shared" si="12"/>
        <v>0</v>
      </c>
      <c r="I89" s="39"/>
    </row>
    <row r="90">
      <c r="B90" s="23"/>
      <c r="C90" s="23"/>
      <c r="D90" s="35"/>
      <c r="E90" s="23"/>
      <c r="F90" s="15"/>
      <c r="G90" s="15"/>
      <c r="H90" s="20">
        <f t="shared" si="12"/>
        <v>0</v>
      </c>
      <c r="I90" s="39"/>
    </row>
    <row r="91">
      <c r="B91" s="23"/>
      <c r="C91" s="23"/>
      <c r="D91" s="35"/>
      <c r="E91" s="23"/>
      <c r="F91" s="15"/>
      <c r="G91" s="15"/>
      <c r="H91" s="20">
        <f t="shared" si="12"/>
        <v>0</v>
      </c>
    </row>
    <row r="92">
      <c r="B92" s="23"/>
      <c r="C92" s="23"/>
      <c r="D92" s="35"/>
      <c r="E92" s="23"/>
      <c r="F92" s="15"/>
      <c r="G92" s="15"/>
      <c r="H92" s="20">
        <f t="shared" si="12"/>
        <v>0</v>
      </c>
      <c r="I92" s="39"/>
    </row>
    <row r="93">
      <c r="B93" s="23"/>
      <c r="C93" s="23"/>
      <c r="D93" s="35"/>
      <c r="E93" s="23"/>
      <c r="F93" s="15"/>
      <c r="G93" s="15"/>
      <c r="H93" s="20">
        <f t="shared" si="12"/>
        <v>0</v>
      </c>
      <c r="I93" s="39"/>
    </row>
    <row r="94">
      <c r="B94" s="23"/>
      <c r="C94" s="23"/>
      <c r="D94" s="35"/>
      <c r="E94" s="23"/>
      <c r="F94" s="15"/>
      <c r="G94" s="15"/>
      <c r="H94" s="20">
        <f t="shared" si="12"/>
        <v>0</v>
      </c>
      <c r="I94" s="39"/>
    </row>
    <row r="95">
      <c r="B95" s="23"/>
      <c r="C95" s="23"/>
      <c r="D95" s="35"/>
      <c r="E95" s="23"/>
      <c r="F95" s="15"/>
      <c r="G95" s="15"/>
      <c r="H95" s="20">
        <f t="shared" si="12"/>
        <v>0</v>
      </c>
    </row>
    <row r="96">
      <c r="B96" s="23"/>
      <c r="C96" s="23"/>
      <c r="D96" s="35"/>
      <c r="E96" s="23"/>
      <c r="F96" s="15"/>
      <c r="G96" s="15"/>
      <c r="H96" s="20">
        <f t="shared" si="12"/>
        <v>0</v>
      </c>
      <c r="I96" s="39"/>
    </row>
    <row r="97">
      <c r="B97" s="23"/>
      <c r="C97" s="23"/>
      <c r="D97" s="35"/>
      <c r="E97" s="23"/>
      <c r="F97" s="15"/>
      <c r="G97" s="15"/>
      <c r="H97" s="20">
        <f t="shared" si="12"/>
        <v>0</v>
      </c>
      <c r="I97" s="39"/>
    </row>
    <row r="98">
      <c r="B98" s="23"/>
      <c r="C98" s="23"/>
      <c r="D98" s="35"/>
      <c r="E98" s="23"/>
      <c r="F98" s="15"/>
      <c r="G98" s="15"/>
      <c r="H98" s="20">
        <f t="shared" si="12"/>
        <v>0</v>
      </c>
    </row>
    <row r="99">
      <c r="B99" s="23"/>
      <c r="C99" s="23"/>
      <c r="D99" s="35"/>
      <c r="E99" s="23"/>
      <c r="F99" s="15"/>
      <c r="G99" s="15"/>
      <c r="H99" s="20">
        <f t="shared" si="12"/>
        <v>0</v>
      </c>
      <c r="I99" s="39"/>
    </row>
    <row r="100">
      <c r="B100" s="23"/>
      <c r="C100" s="23"/>
      <c r="D100" s="35"/>
      <c r="E100" s="23"/>
      <c r="F100" s="15"/>
      <c r="G100" s="15"/>
      <c r="H100" s="20">
        <f t="shared" si="12"/>
        <v>0</v>
      </c>
      <c r="I100" s="39"/>
    </row>
    <row r="101">
      <c r="B101" s="23"/>
      <c r="C101" s="23"/>
      <c r="D101" s="35"/>
      <c r="E101" s="23"/>
      <c r="F101" s="15"/>
      <c r="G101" s="15"/>
      <c r="H101" s="20">
        <f t="shared" si="12"/>
        <v>0</v>
      </c>
      <c r="I101" s="39"/>
    </row>
    <row r="102">
      <c r="B102" s="23"/>
      <c r="C102" s="23"/>
      <c r="D102" s="35"/>
      <c r="E102" s="23"/>
      <c r="F102" s="15"/>
      <c r="G102" s="15"/>
      <c r="H102" s="20">
        <f t="shared" si="12"/>
        <v>0</v>
      </c>
      <c r="I102" s="39"/>
    </row>
    <row r="103">
      <c r="B103" s="23"/>
      <c r="C103" s="23"/>
      <c r="D103" s="35"/>
      <c r="E103" s="23"/>
      <c r="F103" s="15"/>
      <c r="G103" s="15"/>
      <c r="H103" s="20">
        <f t="shared" si="12"/>
        <v>0</v>
      </c>
      <c r="I103" s="39"/>
    </row>
    <row r="104">
      <c r="B104" s="23"/>
      <c r="C104" s="23"/>
      <c r="D104" s="35"/>
      <c r="E104" s="23"/>
      <c r="F104" s="15"/>
      <c r="G104" s="15"/>
      <c r="H104" s="20">
        <f t="shared" si="12"/>
        <v>0</v>
      </c>
      <c r="I104" s="39"/>
    </row>
    <row r="105">
      <c r="B105" s="23"/>
      <c r="C105" s="23"/>
      <c r="D105" s="35"/>
      <c r="E105" s="23"/>
      <c r="F105" s="15"/>
      <c r="G105" s="15"/>
      <c r="H105" s="20">
        <f t="shared" si="12"/>
        <v>0</v>
      </c>
      <c r="I105" s="39"/>
    </row>
    <row r="106">
      <c r="B106" s="23"/>
      <c r="C106" s="23"/>
      <c r="D106" s="35"/>
      <c r="E106" s="23"/>
      <c r="F106" s="15"/>
      <c r="G106" s="15"/>
      <c r="H106" s="20">
        <f t="shared" si="12"/>
        <v>0</v>
      </c>
      <c r="I106" s="39"/>
    </row>
    <row r="107">
      <c r="B107" s="23"/>
      <c r="C107" s="23"/>
      <c r="D107" s="35"/>
      <c r="E107" s="23"/>
      <c r="F107" s="15"/>
      <c r="G107" s="15"/>
      <c r="H107" s="20">
        <f t="shared" si="12"/>
        <v>0</v>
      </c>
      <c r="I107" s="39"/>
    </row>
    <row r="108">
      <c r="B108" s="23"/>
      <c r="C108" s="23"/>
      <c r="D108" s="35"/>
      <c r="E108" s="23"/>
      <c r="F108" s="15"/>
      <c r="G108" s="15"/>
      <c r="H108" s="20">
        <f t="shared" si="12"/>
        <v>0</v>
      </c>
      <c r="I108" s="39"/>
    </row>
    <row r="109">
      <c r="B109" s="23"/>
      <c r="C109" s="23"/>
      <c r="D109" s="35"/>
      <c r="E109" s="23"/>
      <c r="F109" s="15"/>
      <c r="G109" s="15"/>
      <c r="H109" s="20">
        <f t="shared" si="12"/>
        <v>0</v>
      </c>
      <c r="I109" s="39"/>
    </row>
    <row r="110">
      <c r="B110" s="23"/>
      <c r="C110" s="23"/>
      <c r="D110" s="35"/>
      <c r="E110" s="23"/>
      <c r="F110" s="15"/>
      <c r="G110" s="15"/>
      <c r="H110" s="20">
        <f t="shared" si="12"/>
        <v>0</v>
      </c>
      <c r="I110" s="39"/>
    </row>
    <row r="111">
      <c r="B111" s="23"/>
      <c r="C111" s="23"/>
      <c r="D111" s="35"/>
      <c r="E111" s="23"/>
      <c r="F111" s="15"/>
      <c r="G111" s="15"/>
      <c r="H111" s="20">
        <f t="shared" si="12"/>
        <v>0</v>
      </c>
      <c r="I111" s="39"/>
    </row>
    <row r="112">
      <c r="B112" s="23"/>
      <c r="C112" s="23"/>
      <c r="D112" s="35"/>
      <c r="E112" s="23"/>
      <c r="F112" s="15"/>
      <c r="G112" s="15"/>
      <c r="H112" s="20">
        <f t="shared" si="12"/>
        <v>0</v>
      </c>
      <c r="I112" s="39"/>
    </row>
    <row r="113">
      <c r="B113" s="23"/>
      <c r="C113" s="23"/>
      <c r="D113" s="35"/>
      <c r="E113" s="23"/>
      <c r="F113" s="15"/>
      <c r="G113" s="15"/>
      <c r="H113" s="20">
        <f t="shared" si="12"/>
        <v>0</v>
      </c>
      <c r="I113" s="39"/>
    </row>
    <row r="114">
      <c r="B114" s="23"/>
      <c r="C114" s="23"/>
      <c r="D114" s="35"/>
      <c r="E114" s="23"/>
      <c r="F114" s="15"/>
      <c r="G114" s="15"/>
      <c r="H114" s="20">
        <f t="shared" si="12"/>
        <v>0</v>
      </c>
      <c r="I114" s="39"/>
    </row>
    <row r="115">
      <c r="B115" s="23"/>
      <c r="C115" s="23"/>
      <c r="D115" s="35"/>
      <c r="E115" s="23"/>
      <c r="F115" s="15"/>
      <c r="G115" s="15"/>
      <c r="H115" s="20">
        <f t="shared" si="12"/>
        <v>0</v>
      </c>
      <c r="I115" s="39"/>
    </row>
    <row r="116">
      <c r="B116" s="23"/>
      <c r="C116" s="23"/>
      <c r="D116" s="35"/>
      <c r="E116" s="23"/>
      <c r="F116" s="15"/>
      <c r="G116" s="15"/>
      <c r="H116" s="20">
        <f t="shared" si="12"/>
        <v>0</v>
      </c>
      <c r="I116" s="39"/>
    </row>
    <row r="117">
      <c r="B117" s="23"/>
      <c r="C117" s="23"/>
      <c r="D117" s="35"/>
      <c r="E117" s="23"/>
      <c r="F117" s="15"/>
      <c r="G117" s="15"/>
      <c r="H117" s="20">
        <f t="shared" si="12"/>
        <v>0</v>
      </c>
      <c r="I117" s="39"/>
    </row>
    <row r="118">
      <c r="B118" s="23"/>
      <c r="C118" s="23"/>
      <c r="D118" s="35"/>
      <c r="E118" s="23"/>
      <c r="F118" s="15"/>
      <c r="G118" s="15"/>
      <c r="H118" s="20">
        <f t="shared" si="12"/>
        <v>0</v>
      </c>
      <c r="I118" s="39"/>
    </row>
    <row r="119">
      <c r="B119" s="23"/>
      <c r="C119" s="23"/>
      <c r="D119" s="35"/>
      <c r="E119" s="23"/>
      <c r="F119" s="15"/>
      <c r="G119" s="15"/>
      <c r="H119" s="20">
        <f t="shared" si="12"/>
        <v>0</v>
      </c>
      <c r="I119" s="39"/>
    </row>
    <row r="120">
      <c r="B120" s="23"/>
      <c r="C120" s="23"/>
      <c r="D120" s="35"/>
      <c r="E120" s="23"/>
      <c r="F120" s="15"/>
      <c r="G120" s="15"/>
      <c r="H120" s="20">
        <f t="shared" si="12"/>
        <v>0</v>
      </c>
      <c r="I120" s="39"/>
    </row>
    <row r="121">
      <c r="B121" s="23"/>
      <c r="C121" s="23"/>
      <c r="D121" s="35"/>
      <c r="E121" s="23"/>
      <c r="F121" s="15"/>
      <c r="G121" s="15"/>
      <c r="H121" s="20">
        <f t="shared" si="12"/>
        <v>0</v>
      </c>
      <c r="I121" s="39"/>
    </row>
    <row r="122">
      <c r="B122" s="23"/>
      <c r="C122" s="23"/>
      <c r="D122" s="35"/>
      <c r="E122" s="23"/>
      <c r="F122" s="15"/>
      <c r="G122" s="15"/>
      <c r="H122" s="20">
        <f t="shared" si="12"/>
        <v>0</v>
      </c>
      <c r="I122" s="39"/>
    </row>
    <row r="123">
      <c r="B123" s="23"/>
      <c r="C123" s="23"/>
      <c r="D123" s="35"/>
      <c r="E123" s="23"/>
      <c r="F123" s="15"/>
      <c r="G123" s="15"/>
      <c r="H123" s="20">
        <f t="shared" si="12"/>
        <v>0</v>
      </c>
      <c r="I123" s="39"/>
    </row>
    <row r="124">
      <c r="B124" s="23"/>
      <c r="C124" s="23"/>
      <c r="D124" s="35"/>
      <c r="E124" s="23"/>
      <c r="F124" s="15"/>
      <c r="G124" s="15"/>
      <c r="H124" s="20">
        <f t="shared" si="12"/>
        <v>0</v>
      </c>
      <c r="I124" s="39"/>
    </row>
    <row r="125">
      <c r="B125" s="23"/>
      <c r="C125" s="23"/>
      <c r="D125" s="35"/>
      <c r="E125" s="23"/>
      <c r="F125" s="15"/>
      <c r="G125" s="15"/>
      <c r="H125" s="20">
        <f t="shared" si="12"/>
        <v>0</v>
      </c>
      <c r="I125" s="39"/>
    </row>
    <row r="126">
      <c r="B126" s="23"/>
      <c r="C126" s="23"/>
      <c r="D126" s="35"/>
      <c r="E126" s="23"/>
      <c r="F126" s="15"/>
      <c r="G126" s="15"/>
      <c r="H126" s="20">
        <f t="shared" si="12"/>
        <v>0</v>
      </c>
      <c r="I126" s="39"/>
    </row>
    <row r="127">
      <c r="B127" s="23"/>
      <c r="C127" s="23"/>
      <c r="D127" s="35"/>
      <c r="E127" s="23"/>
      <c r="F127" s="15"/>
      <c r="G127" s="15"/>
      <c r="H127" s="20">
        <f t="shared" si="12"/>
        <v>0</v>
      </c>
      <c r="I127" s="39"/>
    </row>
    <row r="128">
      <c r="B128" s="23"/>
      <c r="C128" s="23"/>
      <c r="D128" s="35"/>
      <c r="E128" s="23"/>
      <c r="F128" s="15"/>
      <c r="G128" s="15"/>
      <c r="H128" s="20">
        <f t="shared" si="12"/>
        <v>0</v>
      </c>
      <c r="I128" s="39"/>
    </row>
    <row r="129">
      <c r="B129" s="23"/>
      <c r="C129" s="23"/>
      <c r="D129" s="35"/>
      <c r="E129" s="23"/>
      <c r="F129" s="15"/>
      <c r="G129" s="15"/>
      <c r="H129" s="20">
        <f t="shared" si="12"/>
        <v>0</v>
      </c>
      <c r="I129" s="39"/>
    </row>
    <row r="130">
      <c r="B130" s="23"/>
      <c r="C130" s="23"/>
      <c r="D130" s="35"/>
      <c r="E130" s="23"/>
      <c r="F130" s="15"/>
      <c r="G130" s="15"/>
      <c r="H130" s="20">
        <f t="shared" si="12"/>
        <v>0</v>
      </c>
      <c r="I130" s="39"/>
    </row>
    <row r="131">
      <c r="B131" s="23"/>
      <c r="C131" s="23"/>
      <c r="D131" s="35"/>
      <c r="E131" s="23"/>
      <c r="F131" s="15"/>
      <c r="G131" s="15"/>
      <c r="H131" s="20">
        <f t="shared" si="12"/>
        <v>0</v>
      </c>
      <c r="I131" s="39"/>
    </row>
    <row r="132">
      <c r="B132" s="23"/>
      <c r="C132" s="23"/>
      <c r="D132" s="35"/>
      <c r="E132" s="23"/>
      <c r="F132" s="15"/>
      <c r="G132" s="15"/>
      <c r="H132" s="20">
        <f t="shared" si="12"/>
        <v>0</v>
      </c>
      <c r="I132" s="39"/>
    </row>
    <row r="133">
      <c r="B133" s="23"/>
      <c r="C133" s="23"/>
      <c r="D133" s="35"/>
      <c r="E133" s="23"/>
      <c r="F133" s="15"/>
      <c r="G133" s="15"/>
      <c r="H133" s="20">
        <f t="shared" si="12"/>
        <v>0</v>
      </c>
      <c r="I133" s="39"/>
    </row>
    <row r="134">
      <c r="B134" s="23"/>
      <c r="C134" s="23"/>
      <c r="D134" s="35"/>
      <c r="E134" s="23"/>
      <c r="F134" s="15"/>
      <c r="G134" s="15"/>
      <c r="H134" s="20">
        <f t="shared" si="12"/>
        <v>0</v>
      </c>
      <c r="I134" s="39"/>
    </row>
    <row r="135">
      <c r="B135" s="13" t="s">
        <v>91</v>
      </c>
      <c r="C135" s="31"/>
      <c r="D135" s="38">
        <f>SUM(D33:D134)</f>
        <v>0</v>
      </c>
      <c r="E135" s="31"/>
      <c r="F135" s="20">
        <f t="shared" ref="F135:H135" si="14">SUM(F33:F134)</f>
        <v>0</v>
      </c>
      <c r="G135" s="20">
        <f t="shared" si="14"/>
        <v>0</v>
      </c>
      <c r="H135" s="20">
        <f t="shared" si="14"/>
        <v>0</v>
      </c>
      <c r="I135" s="31"/>
      <c r="J135" s="31"/>
      <c r="K135" s="31"/>
    </row>
    <row r="137">
      <c r="B137" s="22" t="s">
        <v>43</v>
      </c>
    </row>
    <row r="139">
      <c r="B139" s="24" t="s">
        <v>92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</row>
    <row r="140">
      <c r="B140" s="13" t="s">
        <v>93</v>
      </c>
      <c r="C140" s="13" t="s">
        <v>94</v>
      </c>
      <c r="D140" s="13" t="s">
        <v>95</v>
      </c>
      <c r="E140" s="13" t="s">
        <v>96</v>
      </c>
      <c r="F140" s="13" t="s">
        <v>97</v>
      </c>
      <c r="G140" s="13" t="s">
        <v>98</v>
      </c>
      <c r="H140" s="13" t="s">
        <v>99</v>
      </c>
      <c r="I140" s="13" t="s">
        <v>100</v>
      </c>
      <c r="J140" s="13" t="s">
        <v>101</v>
      </c>
      <c r="K140" s="13" t="s">
        <v>102</v>
      </c>
      <c r="L140" s="13" t="s">
        <v>103</v>
      </c>
      <c r="M140" s="13" t="s">
        <v>104</v>
      </c>
      <c r="N140" s="13" t="s">
        <v>105</v>
      </c>
    </row>
    <row r="141">
      <c r="B141" s="11" t="s">
        <v>106</v>
      </c>
      <c r="C141" s="15" t="str">
        <f>D141/D7/12</f>
        <v>#DIV/0!</v>
      </c>
      <c r="D141" s="15">
        <f>F135*12</f>
        <v>0</v>
      </c>
      <c r="E141" s="15">
        <f t="shared" ref="E141:E145" si="16">D141</f>
        <v>0</v>
      </c>
      <c r="F141" s="15">
        <f t="shared" ref="F141:N141" si="15">E141*(1+$H$20)</f>
        <v>0</v>
      </c>
      <c r="G141" s="15">
        <f t="shared" si="15"/>
        <v>0</v>
      </c>
      <c r="H141" s="15">
        <f t="shared" si="15"/>
        <v>0</v>
      </c>
      <c r="I141" s="15">
        <f t="shared" si="15"/>
        <v>0</v>
      </c>
      <c r="J141" s="15">
        <f t="shared" si="15"/>
        <v>0</v>
      </c>
      <c r="K141" s="15">
        <f t="shared" si="15"/>
        <v>0</v>
      </c>
      <c r="L141" s="15">
        <f t="shared" si="15"/>
        <v>0</v>
      </c>
      <c r="M141" s="15">
        <f t="shared" si="15"/>
        <v>0</v>
      </c>
      <c r="N141" s="15">
        <f t="shared" si="15"/>
        <v>0</v>
      </c>
    </row>
    <row r="142">
      <c r="B142" s="11" t="s">
        <v>107</v>
      </c>
      <c r="C142" s="15" t="str">
        <f>-C141*H22</f>
        <v>#DIV/0!</v>
      </c>
      <c r="D142" s="15">
        <f>-D141*H22</f>
        <v>0</v>
      </c>
      <c r="E142" s="15">
        <f t="shared" si="16"/>
        <v>0</v>
      </c>
      <c r="F142" s="15">
        <f t="shared" ref="F142:N142" si="17">-F141*$H$22</f>
        <v>0</v>
      </c>
      <c r="G142" s="15">
        <f t="shared" si="17"/>
        <v>0</v>
      </c>
      <c r="H142" s="15">
        <f t="shared" si="17"/>
        <v>0</v>
      </c>
      <c r="I142" s="15">
        <f t="shared" si="17"/>
        <v>0</v>
      </c>
      <c r="J142" s="15">
        <f t="shared" si="17"/>
        <v>0</v>
      </c>
      <c r="K142" s="15">
        <f t="shared" si="17"/>
        <v>0</v>
      </c>
      <c r="L142" s="15">
        <f t="shared" si="17"/>
        <v>0</v>
      </c>
      <c r="M142" s="15">
        <f t="shared" si="17"/>
        <v>0</v>
      </c>
      <c r="N142" s="15">
        <f t="shared" si="17"/>
        <v>0</v>
      </c>
    </row>
    <row r="143">
      <c r="B143" s="11" t="s">
        <v>108</v>
      </c>
      <c r="C143" s="15" t="str">
        <f>D143/D7/12</f>
        <v>#DIV/0!</v>
      </c>
      <c r="D143" s="15">
        <f>-H135*12</f>
        <v>0</v>
      </c>
      <c r="E143" s="15">
        <f t="shared" si="16"/>
        <v>0</v>
      </c>
      <c r="F143" s="15">
        <f t="shared" ref="F143:N143" si="18">E143*(1-0.1)</f>
        <v>0</v>
      </c>
      <c r="G143" s="15">
        <f t="shared" si="18"/>
        <v>0</v>
      </c>
      <c r="H143" s="15">
        <f t="shared" si="18"/>
        <v>0</v>
      </c>
      <c r="I143" s="15">
        <f t="shared" si="18"/>
        <v>0</v>
      </c>
      <c r="J143" s="15">
        <f t="shared" si="18"/>
        <v>0</v>
      </c>
      <c r="K143" s="15">
        <f t="shared" si="18"/>
        <v>0</v>
      </c>
      <c r="L143" s="15">
        <f t="shared" si="18"/>
        <v>0</v>
      </c>
      <c r="M143" s="15">
        <f t="shared" si="18"/>
        <v>0</v>
      </c>
      <c r="N143" s="15">
        <f t="shared" si="18"/>
        <v>0</v>
      </c>
    </row>
    <row r="144">
      <c r="B144" s="11" t="s">
        <v>109</v>
      </c>
      <c r="C144" s="15" t="str">
        <f>-C141*H24</f>
        <v>#DIV/0!</v>
      </c>
      <c r="D144" s="15">
        <f>-D141*H24</f>
        <v>0</v>
      </c>
      <c r="E144" s="15">
        <f t="shared" si="16"/>
        <v>0</v>
      </c>
      <c r="F144" s="15">
        <f t="shared" ref="F144:N144" si="19">-F141*$H$24</f>
        <v>0</v>
      </c>
      <c r="G144" s="15">
        <f t="shared" si="19"/>
        <v>0</v>
      </c>
      <c r="H144" s="15">
        <f t="shared" si="19"/>
        <v>0</v>
      </c>
      <c r="I144" s="15">
        <f t="shared" si="19"/>
        <v>0</v>
      </c>
      <c r="J144" s="15">
        <f t="shared" si="19"/>
        <v>0</v>
      </c>
      <c r="K144" s="15">
        <f t="shared" si="19"/>
        <v>0</v>
      </c>
      <c r="L144" s="15">
        <f t="shared" si="19"/>
        <v>0</v>
      </c>
      <c r="M144" s="15">
        <f t="shared" si="19"/>
        <v>0</v>
      </c>
      <c r="N144" s="15">
        <f t="shared" si="19"/>
        <v>0</v>
      </c>
    </row>
    <row r="145">
      <c r="B145" s="11" t="s">
        <v>110</v>
      </c>
      <c r="C145" s="15" t="str">
        <f>-C141*H23</f>
        <v>#DIV/0!</v>
      </c>
      <c r="D145" s="15">
        <f>-D141*H23</f>
        <v>0</v>
      </c>
      <c r="E145" s="15">
        <f t="shared" si="16"/>
        <v>0</v>
      </c>
      <c r="F145" s="15">
        <f t="shared" ref="F145:N145" si="20">-F141*$H$23</f>
        <v>0</v>
      </c>
      <c r="G145" s="15">
        <f t="shared" si="20"/>
        <v>0</v>
      </c>
      <c r="H145" s="15">
        <f t="shared" si="20"/>
        <v>0</v>
      </c>
      <c r="I145" s="15">
        <f t="shared" si="20"/>
        <v>0</v>
      </c>
      <c r="J145" s="15">
        <f t="shared" si="20"/>
        <v>0</v>
      </c>
      <c r="K145" s="15">
        <f t="shared" si="20"/>
        <v>0</v>
      </c>
      <c r="L145" s="15">
        <f t="shared" si="20"/>
        <v>0</v>
      </c>
      <c r="M145" s="15">
        <f t="shared" si="20"/>
        <v>0</v>
      </c>
      <c r="N145" s="15">
        <f t="shared" si="20"/>
        <v>0</v>
      </c>
    </row>
    <row r="146">
      <c r="B146" s="13" t="s">
        <v>111</v>
      </c>
      <c r="C146" s="15" t="str">
        <f t="shared" ref="C146:N146" si="21">SUM(C141:C145)</f>
        <v>#DIV/0!</v>
      </c>
      <c r="D146" s="15">
        <f t="shared" si="21"/>
        <v>0</v>
      </c>
      <c r="E146" s="15">
        <f t="shared" si="21"/>
        <v>0</v>
      </c>
      <c r="F146" s="15">
        <f t="shared" si="21"/>
        <v>0</v>
      </c>
      <c r="G146" s="15">
        <f t="shared" si="21"/>
        <v>0</v>
      </c>
      <c r="H146" s="15">
        <f t="shared" si="21"/>
        <v>0</v>
      </c>
      <c r="I146" s="15">
        <f t="shared" si="21"/>
        <v>0</v>
      </c>
      <c r="J146" s="15">
        <f t="shared" si="21"/>
        <v>0</v>
      </c>
      <c r="K146" s="15">
        <f t="shared" si="21"/>
        <v>0</v>
      </c>
      <c r="L146" s="15">
        <f t="shared" si="21"/>
        <v>0</v>
      </c>
      <c r="M146" s="15">
        <f t="shared" si="21"/>
        <v>0</v>
      </c>
      <c r="N146" s="15">
        <f t="shared" si="21"/>
        <v>0</v>
      </c>
    </row>
    <row r="148">
      <c r="B148" s="13" t="s">
        <v>112</v>
      </c>
      <c r="C148" s="31"/>
      <c r="D148" s="31"/>
    </row>
    <row r="149">
      <c r="B149" s="1" t="s">
        <v>113</v>
      </c>
      <c r="C149" s="40"/>
      <c r="D149" s="37">
        <f t="shared" ref="D149:D155" si="23">C149*12*$D$7</f>
        <v>0</v>
      </c>
      <c r="E149" s="37">
        <f t="shared" ref="E149:E155" si="24">D149</f>
        <v>0</v>
      </c>
      <c r="F149" s="37">
        <f t="shared" ref="F149:N149" si="22">E149*(1+$H$20)</f>
        <v>0</v>
      </c>
      <c r="G149" s="37">
        <f t="shared" si="22"/>
        <v>0</v>
      </c>
      <c r="H149" s="37">
        <f t="shared" si="22"/>
        <v>0</v>
      </c>
      <c r="I149" s="37">
        <f t="shared" si="22"/>
        <v>0</v>
      </c>
      <c r="J149" s="37">
        <f t="shared" si="22"/>
        <v>0</v>
      </c>
      <c r="K149" s="37">
        <f t="shared" si="22"/>
        <v>0</v>
      </c>
      <c r="L149" s="37">
        <f t="shared" si="22"/>
        <v>0</v>
      </c>
      <c r="M149" s="37">
        <f t="shared" si="22"/>
        <v>0</v>
      </c>
      <c r="N149" s="37">
        <f t="shared" si="22"/>
        <v>0</v>
      </c>
    </row>
    <row r="150">
      <c r="B150" s="1" t="s">
        <v>114</v>
      </c>
      <c r="C150" s="40"/>
      <c r="D150" s="37">
        <f t="shared" si="23"/>
        <v>0</v>
      </c>
      <c r="E150" s="37">
        <f t="shared" si="24"/>
        <v>0</v>
      </c>
      <c r="F150" s="37">
        <f t="shared" ref="F150:N150" si="25">E150*(1+$H$20)</f>
        <v>0</v>
      </c>
      <c r="G150" s="37">
        <f t="shared" si="25"/>
        <v>0</v>
      </c>
      <c r="H150" s="37">
        <f t="shared" si="25"/>
        <v>0</v>
      </c>
      <c r="I150" s="37">
        <f t="shared" si="25"/>
        <v>0</v>
      </c>
      <c r="J150" s="37">
        <f t="shared" si="25"/>
        <v>0</v>
      </c>
      <c r="K150" s="37">
        <f t="shared" si="25"/>
        <v>0</v>
      </c>
      <c r="L150" s="37">
        <f t="shared" si="25"/>
        <v>0</v>
      </c>
      <c r="M150" s="37">
        <f t="shared" si="25"/>
        <v>0</v>
      </c>
      <c r="N150" s="37">
        <f t="shared" si="25"/>
        <v>0</v>
      </c>
    </row>
    <row r="151">
      <c r="B151" s="1" t="s">
        <v>115</v>
      </c>
      <c r="C151" s="40"/>
      <c r="D151" s="37">
        <f t="shared" si="23"/>
        <v>0</v>
      </c>
      <c r="E151" s="37">
        <f t="shared" si="24"/>
        <v>0</v>
      </c>
      <c r="F151" s="37">
        <f t="shared" ref="F151:N151" si="26">E151*(1+$H$20)</f>
        <v>0</v>
      </c>
      <c r="G151" s="37">
        <f t="shared" si="26"/>
        <v>0</v>
      </c>
      <c r="H151" s="37">
        <f t="shared" si="26"/>
        <v>0</v>
      </c>
      <c r="I151" s="37">
        <f t="shared" si="26"/>
        <v>0</v>
      </c>
      <c r="J151" s="37">
        <f t="shared" si="26"/>
        <v>0</v>
      </c>
      <c r="K151" s="37">
        <f t="shared" si="26"/>
        <v>0</v>
      </c>
      <c r="L151" s="37">
        <f t="shared" si="26"/>
        <v>0</v>
      </c>
      <c r="M151" s="37">
        <f t="shared" si="26"/>
        <v>0</v>
      </c>
      <c r="N151" s="37">
        <f t="shared" si="26"/>
        <v>0</v>
      </c>
    </row>
    <row r="152">
      <c r="B152" s="1" t="s">
        <v>116</v>
      </c>
      <c r="C152" s="40"/>
      <c r="D152" s="37">
        <f t="shared" si="23"/>
        <v>0</v>
      </c>
      <c r="E152" s="37">
        <f t="shared" si="24"/>
        <v>0</v>
      </c>
      <c r="F152" s="37">
        <f t="shared" ref="F152:N152" si="27">E152*(1+$H$20)</f>
        <v>0</v>
      </c>
      <c r="G152" s="37">
        <f t="shared" si="27"/>
        <v>0</v>
      </c>
      <c r="H152" s="37">
        <f t="shared" si="27"/>
        <v>0</v>
      </c>
      <c r="I152" s="37">
        <f t="shared" si="27"/>
        <v>0</v>
      </c>
      <c r="J152" s="37">
        <f t="shared" si="27"/>
        <v>0</v>
      </c>
      <c r="K152" s="37">
        <f t="shared" si="27"/>
        <v>0</v>
      </c>
      <c r="L152" s="37">
        <f t="shared" si="27"/>
        <v>0</v>
      </c>
      <c r="M152" s="37">
        <f t="shared" si="27"/>
        <v>0</v>
      </c>
      <c r="N152" s="37">
        <f t="shared" si="27"/>
        <v>0</v>
      </c>
    </row>
    <row r="153">
      <c r="B153" s="1" t="s">
        <v>117</v>
      </c>
      <c r="C153" s="40"/>
      <c r="D153" s="37">
        <f t="shared" si="23"/>
        <v>0</v>
      </c>
      <c r="E153" s="37">
        <f t="shared" si="24"/>
        <v>0</v>
      </c>
      <c r="F153" s="37">
        <f t="shared" ref="F153:N153" si="28">E153*(1+$H$20)</f>
        <v>0</v>
      </c>
      <c r="G153" s="37">
        <f t="shared" si="28"/>
        <v>0</v>
      </c>
      <c r="H153" s="37">
        <f t="shared" si="28"/>
        <v>0</v>
      </c>
      <c r="I153" s="37">
        <f t="shared" si="28"/>
        <v>0</v>
      </c>
      <c r="J153" s="37">
        <f t="shared" si="28"/>
        <v>0</v>
      </c>
      <c r="K153" s="37">
        <f t="shared" si="28"/>
        <v>0</v>
      </c>
      <c r="L153" s="37">
        <f t="shared" si="28"/>
        <v>0</v>
      </c>
      <c r="M153" s="37">
        <f t="shared" si="28"/>
        <v>0</v>
      </c>
      <c r="N153" s="37">
        <f t="shared" si="28"/>
        <v>0</v>
      </c>
    </row>
    <row r="154">
      <c r="B154" s="1" t="s">
        <v>118</v>
      </c>
      <c r="C154" s="40"/>
      <c r="D154" s="37">
        <f t="shared" si="23"/>
        <v>0</v>
      </c>
      <c r="E154" s="37">
        <f t="shared" si="24"/>
        <v>0</v>
      </c>
      <c r="F154" s="37">
        <f t="shared" ref="F154:N154" si="29">E154*(1+$H$20)</f>
        <v>0</v>
      </c>
      <c r="G154" s="37">
        <f t="shared" si="29"/>
        <v>0</v>
      </c>
      <c r="H154" s="37">
        <f t="shared" si="29"/>
        <v>0</v>
      </c>
      <c r="I154" s="37">
        <f t="shared" si="29"/>
        <v>0</v>
      </c>
      <c r="J154" s="37">
        <f t="shared" si="29"/>
        <v>0</v>
      </c>
      <c r="K154" s="37">
        <f t="shared" si="29"/>
        <v>0</v>
      </c>
      <c r="L154" s="37">
        <f t="shared" si="29"/>
        <v>0</v>
      </c>
      <c r="M154" s="37">
        <f t="shared" si="29"/>
        <v>0</v>
      </c>
      <c r="N154" s="37">
        <f t="shared" si="29"/>
        <v>0</v>
      </c>
    </row>
    <row r="155">
      <c r="B155" s="1" t="s">
        <v>119</v>
      </c>
      <c r="C155" s="37">
        <f>SUM(C149:C154)</f>
        <v>0</v>
      </c>
      <c r="D155" s="37">
        <f t="shared" si="23"/>
        <v>0</v>
      </c>
      <c r="E155" s="37">
        <f t="shared" si="24"/>
        <v>0</v>
      </c>
      <c r="F155" s="37">
        <f t="shared" ref="F155:N155" si="30">SUM(F149:F154)</f>
        <v>0</v>
      </c>
      <c r="G155" s="37">
        <f t="shared" si="30"/>
        <v>0</v>
      </c>
      <c r="H155" s="37">
        <f t="shared" si="30"/>
        <v>0</v>
      </c>
      <c r="I155" s="37">
        <f t="shared" si="30"/>
        <v>0</v>
      </c>
      <c r="J155" s="37">
        <f t="shared" si="30"/>
        <v>0</v>
      </c>
      <c r="K155" s="37">
        <f t="shared" si="30"/>
        <v>0</v>
      </c>
      <c r="L155" s="37">
        <f t="shared" si="30"/>
        <v>0</v>
      </c>
      <c r="M155" s="37">
        <f t="shared" si="30"/>
        <v>0</v>
      </c>
      <c r="N155" s="37">
        <f t="shared" si="30"/>
        <v>0</v>
      </c>
    </row>
    <row r="157">
      <c r="B157" s="41" t="s">
        <v>120</v>
      </c>
      <c r="C157" s="42"/>
      <c r="D157" s="42"/>
    </row>
    <row r="158">
      <c r="B158" s="11" t="s">
        <v>121</v>
      </c>
      <c r="D158" s="43"/>
    </row>
    <row r="159">
      <c r="B159" s="11" t="s">
        <v>122</v>
      </c>
      <c r="C159" s="18"/>
      <c r="D159" s="15">
        <f t="shared" ref="D159:D162" si="32">C159*12*$D$7*$D$158</f>
        <v>0</v>
      </c>
      <c r="E159" s="15">
        <f t="shared" ref="E159:E162" si="33">D159</f>
        <v>0</v>
      </c>
      <c r="F159" s="15">
        <f t="shared" ref="F159:N159" si="31">E159*(1+$H$20)</f>
        <v>0</v>
      </c>
      <c r="G159" s="15">
        <f t="shared" si="31"/>
        <v>0</v>
      </c>
      <c r="H159" s="15">
        <f t="shared" si="31"/>
        <v>0</v>
      </c>
      <c r="I159" s="15">
        <f t="shared" si="31"/>
        <v>0</v>
      </c>
      <c r="J159" s="15">
        <f t="shared" si="31"/>
        <v>0</v>
      </c>
      <c r="K159" s="15">
        <f t="shared" si="31"/>
        <v>0</v>
      </c>
      <c r="L159" s="15">
        <f t="shared" si="31"/>
        <v>0</v>
      </c>
      <c r="M159" s="15">
        <f t="shared" si="31"/>
        <v>0</v>
      </c>
      <c r="N159" s="15">
        <f t="shared" si="31"/>
        <v>0</v>
      </c>
    </row>
    <row r="160">
      <c r="B160" s="11" t="s">
        <v>123</v>
      </c>
      <c r="C160" s="18"/>
      <c r="D160" s="15">
        <f t="shared" si="32"/>
        <v>0</v>
      </c>
      <c r="E160" s="15">
        <f t="shared" si="33"/>
        <v>0</v>
      </c>
      <c r="F160" s="15">
        <f t="shared" ref="F160:N160" si="34">E160*(1+$H$20)</f>
        <v>0</v>
      </c>
      <c r="G160" s="15">
        <f t="shared" si="34"/>
        <v>0</v>
      </c>
      <c r="H160" s="15">
        <f t="shared" si="34"/>
        <v>0</v>
      </c>
      <c r="I160" s="15">
        <f t="shared" si="34"/>
        <v>0</v>
      </c>
      <c r="J160" s="15">
        <f t="shared" si="34"/>
        <v>0</v>
      </c>
      <c r="K160" s="15">
        <f t="shared" si="34"/>
        <v>0</v>
      </c>
      <c r="L160" s="15">
        <f t="shared" si="34"/>
        <v>0</v>
      </c>
      <c r="M160" s="15">
        <f t="shared" si="34"/>
        <v>0</v>
      </c>
      <c r="N160" s="15">
        <f t="shared" si="34"/>
        <v>0</v>
      </c>
    </row>
    <row r="161">
      <c r="B161" s="11" t="s">
        <v>124</v>
      </c>
      <c r="C161" s="18"/>
      <c r="D161" s="15">
        <f t="shared" si="32"/>
        <v>0</v>
      </c>
      <c r="E161" s="15">
        <f t="shared" si="33"/>
        <v>0</v>
      </c>
      <c r="F161" s="15">
        <f t="shared" ref="F161:N161" si="35">E161*(1+$H$20)</f>
        <v>0</v>
      </c>
      <c r="G161" s="15">
        <f t="shared" si="35"/>
        <v>0</v>
      </c>
      <c r="H161" s="15">
        <f t="shared" si="35"/>
        <v>0</v>
      </c>
      <c r="I161" s="15">
        <f t="shared" si="35"/>
        <v>0</v>
      </c>
      <c r="J161" s="15">
        <f t="shared" si="35"/>
        <v>0</v>
      </c>
      <c r="K161" s="15">
        <f t="shared" si="35"/>
        <v>0</v>
      </c>
      <c r="L161" s="15">
        <f t="shared" si="35"/>
        <v>0</v>
      </c>
      <c r="M161" s="15">
        <f t="shared" si="35"/>
        <v>0</v>
      </c>
      <c r="N161" s="15">
        <f t="shared" si="35"/>
        <v>0</v>
      </c>
    </row>
    <row r="162">
      <c r="B162" s="11" t="s">
        <v>125</v>
      </c>
      <c r="C162" s="18"/>
      <c r="D162" s="15">
        <f t="shared" si="32"/>
        <v>0</v>
      </c>
      <c r="E162" s="15">
        <f t="shared" si="33"/>
        <v>0</v>
      </c>
      <c r="F162" s="15">
        <f t="shared" ref="F162:N162" si="36">E162*(1+$H$20)</f>
        <v>0</v>
      </c>
      <c r="G162" s="15">
        <f t="shared" si="36"/>
        <v>0</v>
      </c>
      <c r="H162" s="15">
        <f t="shared" si="36"/>
        <v>0</v>
      </c>
      <c r="I162" s="15">
        <f t="shared" si="36"/>
        <v>0</v>
      </c>
      <c r="J162" s="15">
        <f t="shared" si="36"/>
        <v>0</v>
      </c>
      <c r="K162" s="15">
        <f t="shared" si="36"/>
        <v>0</v>
      </c>
      <c r="L162" s="15">
        <f t="shared" si="36"/>
        <v>0</v>
      </c>
      <c r="M162" s="15">
        <f t="shared" si="36"/>
        <v>0</v>
      </c>
      <c r="N162" s="15">
        <f t="shared" si="36"/>
        <v>0</v>
      </c>
    </row>
    <row r="163">
      <c r="B163" s="44" t="s">
        <v>126</v>
      </c>
      <c r="C163" s="37">
        <f>SUM(C159:C162)*D158</f>
        <v>0</v>
      </c>
      <c r="D163" s="15">
        <f t="shared" ref="D163:N163" si="37">SUM(D159:D162)</f>
        <v>0</v>
      </c>
      <c r="E163" s="15">
        <f t="shared" si="37"/>
        <v>0</v>
      </c>
      <c r="F163" s="15">
        <f t="shared" si="37"/>
        <v>0</v>
      </c>
      <c r="G163" s="15">
        <f t="shared" si="37"/>
        <v>0</v>
      </c>
      <c r="H163" s="15">
        <f t="shared" si="37"/>
        <v>0</v>
      </c>
      <c r="I163" s="15">
        <f t="shared" si="37"/>
        <v>0</v>
      </c>
      <c r="J163" s="15">
        <f t="shared" si="37"/>
        <v>0</v>
      </c>
      <c r="K163" s="15">
        <f t="shared" si="37"/>
        <v>0</v>
      </c>
      <c r="L163" s="15">
        <f t="shared" si="37"/>
        <v>0</v>
      </c>
      <c r="M163" s="15">
        <f t="shared" si="37"/>
        <v>0</v>
      </c>
      <c r="N163" s="15">
        <f t="shared" si="37"/>
        <v>0</v>
      </c>
    </row>
    <row r="165">
      <c r="B165" s="5" t="s">
        <v>127</v>
      </c>
      <c r="C165" s="6"/>
      <c r="D165" s="45">
        <f t="shared" ref="D165:N165" si="38">D146+D155+D163</f>
        <v>0</v>
      </c>
      <c r="E165" s="45">
        <f t="shared" si="38"/>
        <v>0</v>
      </c>
      <c r="F165" s="45">
        <f t="shared" si="38"/>
        <v>0</v>
      </c>
      <c r="G165" s="45">
        <f t="shared" si="38"/>
        <v>0</v>
      </c>
      <c r="H165" s="45">
        <f t="shared" si="38"/>
        <v>0</v>
      </c>
      <c r="I165" s="45">
        <f t="shared" si="38"/>
        <v>0</v>
      </c>
      <c r="J165" s="45">
        <f t="shared" si="38"/>
        <v>0</v>
      </c>
      <c r="K165" s="45">
        <f t="shared" si="38"/>
        <v>0</v>
      </c>
      <c r="L165" s="45">
        <f t="shared" si="38"/>
        <v>0</v>
      </c>
      <c r="M165" s="45">
        <f t="shared" si="38"/>
        <v>0</v>
      </c>
      <c r="N165" s="45">
        <f t="shared" si="38"/>
        <v>0</v>
      </c>
    </row>
    <row r="167">
      <c r="B167" s="22" t="s">
        <v>43</v>
      </c>
    </row>
    <row r="169">
      <c r="B169" s="46" t="s">
        <v>128</v>
      </c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</row>
    <row r="170">
      <c r="B170" s="48" t="s">
        <v>129</v>
      </c>
      <c r="C170" s="48" t="s">
        <v>94</v>
      </c>
      <c r="D170" s="48" t="s">
        <v>95</v>
      </c>
      <c r="E170" s="48" t="s">
        <v>96</v>
      </c>
      <c r="F170" s="48" t="s">
        <v>97</v>
      </c>
      <c r="G170" s="48" t="s">
        <v>98</v>
      </c>
      <c r="H170" s="48" t="s">
        <v>99</v>
      </c>
      <c r="I170" s="48" t="s">
        <v>100</v>
      </c>
      <c r="J170" s="48" t="s">
        <v>101</v>
      </c>
      <c r="K170" s="48" t="s">
        <v>102</v>
      </c>
      <c r="L170" s="48" t="s">
        <v>103</v>
      </c>
      <c r="M170" s="48" t="s">
        <v>104</v>
      </c>
      <c r="N170" s="48" t="s">
        <v>105</v>
      </c>
    </row>
    <row r="171">
      <c r="B171" s="49" t="s">
        <v>130</v>
      </c>
      <c r="C171" s="18"/>
      <c r="D171" s="15">
        <f t="shared" ref="D171:D192" si="40">C171*12*$D$7</f>
        <v>0</v>
      </c>
      <c r="E171" s="15">
        <f t="shared" ref="E171:E192" si="41">D171</f>
        <v>0</v>
      </c>
      <c r="F171" s="15">
        <f t="shared" ref="F171:N171" si="39">E171*(1+$H$21)</f>
        <v>0</v>
      </c>
      <c r="G171" s="15">
        <f t="shared" si="39"/>
        <v>0</v>
      </c>
      <c r="H171" s="15">
        <f t="shared" si="39"/>
        <v>0</v>
      </c>
      <c r="I171" s="15">
        <f t="shared" si="39"/>
        <v>0</v>
      </c>
      <c r="J171" s="15">
        <f t="shared" si="39"/>
        <v>0</v>
      </c>
      <c r="K171" s="15">
        <f t="shared" si="39"/>
        <v>0</v>
      </c>
      <c r="L171" s="15">
        <f t="shared" si="39"/>
        <v>0</v>
      </c>
      <c r="M171" s="15">
        <f t="shared" si="39"/>
        <v>0</v>
      </c>
      <c r="N171" s="15">
        <f t="shared" si="39"/>
        <v>0</v>
      </c>
    </row>
    <row r="172">
      <c r="B172" s="49" t="s">
        <v>131</v>
      </c>
      <c r="C172" s="18"/>
      <c r="D172" s="15">
        <f t="shared" si="40"/>
        <v>0</v>
      </c>
      <c r="E172" s="15">
        <f t="shared" si="41"/>
        <v>0</v>
      </c>
      <c r="F172" s="15">
        <f t="shared" ref="F172:N172" si="42">E172*(1+$H$21)</f>
        <v>0</v>
      </c>
      <c r="G172" s="15">
        <f t="shared" si="42"/>
        <v>0</v>
      </c>
      <c r="H172" s="15">
        <f t="shared" si="42"/>
        <v>0</v>
      </c>
      <c r="I172" s="15">
        <f t="shared" si="42"/>
        <v>0</v>
      </c>
      <c r="J172" s="15">
        <f t="shared" si="42"/>
        <v>0</v>
      </c>
      <c r="K172" s="15">
        <f t="shared" si="42"/>
        <v>0</v>
      </c>
      <c r="L172" s="15">
        <f t="shared" si="42"/>
        <v>0</v>
      </c>
      <c r="M172" s="15">
        <f t="shared" si="42"/>
        <v>0</v>
      </c>
      <c r="N172" s="15">
        <f t="shared" si="42"/>
        <v>0</v>
      </c>
    </row>
    <row r="173">
      <c r="B173" s="49" t="s">
        <v>132</v>
      </c>
      <c r="C173" s="18"/>
      <c r="D173" s="15">
        <f t="shared" si="40"/>
        <v>0</v>
      </c>
      <c r="E173" s="15">
        <f t="shared" si="41"/>
        <v>0</v>
      </c>
      <c r="F173" s="15">
        <f t="shared" ref="F173:N173" si="43">E173*(1+$H$21)</f>
        <v>0</v>
      </c>
      <c r="G173" s="15">
        <f t="shared" si="43"/>
        <v>0</v>
      </c>
      <c r="H173" s="15">
        <f t="shared" si="43"/>
        <v>0</v>
      </c>
      <c r="I173" s="15">
        <f t="shared" si="43"/>
        <v>0</v>
      </c>
      <c r="J173" s="15">
        <f t="shared" si="43"/>
        <v>0</v>
      </c>
      <c r="K173" s="15">
        <f t="shared" si="43"/>
        <v>0</v>
      </c>
      <c r="L173" s="15">
        <f t="shared" si="43"/>
        <v>0</v>
      </c>
      <c r="M173" s="15">
        <f t="shared" si="43"/>
        <v>0</v>
      </c>
      <c r="N173" s="15">
        <f t="shared" si="43"/>
        <v>0</v>
      </c>
    </row>
    <row r="174">
      <c r="B174" s="49" t="s">
        <v>133</v>
      </c>
      <c r="C174" s="18"/>
      <c r="D174" s="15">
        <f t="shared" si="40"/>
        <v>0</v>
      </c>
      <c r="E174" s="15">
        <f t="shared" si="41"/>
        <v>0</v>
      </c>
      <c r="F174" s="15">
        <f t="shared" ref="F174:N174" si="44">E174*(1+$H$21)</f>
        <v>0</v>
      </c>
      <c r="G174" s="15">
        <f t="shared" si="44"/>
        <v>0</v>
      </c>
      <c r="H174" s="15">
        <f t="shared" si="44"/>
        <v>0</v>
      </c>
      <c r="I174" s="15">
        <f t="shared" si="44"/>
        <v>0</v>
      </c>
      <c r="J174" s="15">
        <f t="shared" si="44"/>
        <v>0</v>
      </c>
      <c r="K174" s="15">
        <f t="shared" si="44"/>
        <v>0</v>
      </c>
      <c r="L174" s="15">
        <f t="shared" si="44"/>
        <v>0</v>
      </c>
      <c r="M174" s="15">
        <f t="shared" si="44"/>
        <v>0</v>
      </c>
      <c r="N174" s="15">
        <f t="shared" si="44"/>
        <v>0</v>
      </c>
    </row>
    <row r="175">
      <c r="B175" s="49" t="s">
        <v>134</v>
      </c>
      <c r="C175" s="18"/>
      <c r="D175" s="15">
        <f t="shared" si="40"/>
        <v>0</v>
      </c>
      <c r="E175" s="15">
        <f t="shared" si="41"/>
        <v>0</v>
      </c>
      <c r="F175" s="15">
        <f t="shared" ref="F175:N175" si="45">E175*(1+$H$21)</f>
        <v>0</v>
      </c>
      <c r="G175" s="15">
        <f t="shared" si="45"/>
        <v>0</v>
      </c>
      <c r="H175" s="15">
        <f t="shared" si="45"/>
        <v>0</v>
      </c>
      <c r="I175" s="15">
        <f t="shared" si="45"/>
        <v>0</v>
      </c>
      <c r="J175" s="15">
        <f t="shared" si="45"/>
        <v>0</v>
      </c>
      <c r="K175" s="15">
        <f t="shared" si="45"/>
        <v>0</v>
      </c>
      <c r="L175" s="15">
        <f t="shared" si="45"/>
        <v>0</v>
      </c>
      <c r="M175" s="15">
        <f t="shared" si="45"/>
        <v>0</v>
      </c>
      <c r="N175" s="15">
        <f t="shared" si="45"/>
        <v>0</v>
      </c>
    </row>
    <row r="176">
      <c r="B176" s="49" t="s">
        <v>135</v>
      </c>
      <c r="C176" s="18"/>
      <c r="D176" s="15">
        <f t="shared" si="40"/>
        <v>0</v>
      </c>
      <c r="E176" s="15">
        <f t="shared" si="41"/>
        <v>0</v>
      </c>
      <c r="F176" s="15">
        <f t="shared" ref="F176:N176" si="46">E176*(1+$H$21)</f>
        <v>0</v>
      </c>
      <c r="G176" s="15">
        <f t="shared" si="46"/>
        <v>0</v>
      </c>
      <c r="H176" s="15">
        <f t="shared" si="46"/>
        <v>0</v>
      </c>
      <c r="I176" s="15">
        <f t="shared" si="46"/>
        <v>0</v>
      </c>
      <c r="J176" s="15">
        <f t="shared" si="46"/>
        <v>0</v>
      </c>
      <c r="K176" s="15">
        <f t="shared" si="46"/>
        <v>0</v>
      </c>
      <c r="L176" s="15">
        <f t="shared" si="46"/>
        <v>0</v>
      </c>
      <c r="M176" s="15">
        <f t="shared" si="46"/>
        <v>0</v>
      </c>
      <c r="N176" s="15">
        <f t="shared" si="46"/>
        <v>0</v>
      </c>
    </row>
    <row r="177">
      <c r="B177" s="49" t="s">
        <v>136</v>
      </c>
      <c r="C177" s="18"/>
      <c r="D177" s="15">
        <f t="shared" si="40"/>
        <v>0</v>
      </c>
      <c r="E177" s="15">
        <f t="shared" si="41"/>
        <v>0</v>
      </c>
      <c r="F177" s="15">
        <f t="shared" ref="F177:N177" si="47">E177*(1+$H$21)</f>
        <v>0</v>
      </c>
      <c r="G177" s="15">
        <f t="shared" si="47"/>
        <v>0</v>
      </c>
      <c r="H177" s="15">
        <f t="shared" si="47"/>
        <v>0</v>
      </c>
      <c r="I177" s="15">
        <f t="shared" si="47"/>
        <v>0</v>
      </c>
      <c r="J177" s="15">
        <f t="shared" si="47"/>
        <v>0</v>
      </c>
      <c r="K177" s="15">
        <f t="shared" si="47"/>
        <v>0</v>
      </c>
      <c r="L177" s="15">
        <f t="shared" si="47"/>
        <v>0</v>
      </c>
      <c r="M177" s="15">
        <f t="shared" si="47"/>
        <v>0</v>
      </c>
      <c r="N177" s="15">
        <f t="shared" si="47"/>
        <v>0</v>
      </c>
    </row>
    <row r="178">
      <c r="B178" s="49" t="s">
        <v>137</v>
      </c>
      <c r="C178" s="18"/>
      <c r="D178" s="15">
        <f t="shared" si="40"/>
        <v>0</v>
      </c>
      <c r="E178" s="15">
        <f t="shared" si="41"/>
        <v>0</v>
      </c>
      <c r="F178" s="15">
        <f t="shared" ref="F178:N178" si="48">E178*(1+$H$21)</f>
        <v>0</v>
      </c>
      <c r="G178" s="15">
        <f t="shared" si="48"/>
        <v>0</v>
      </c>
      <c r="H178" s="15">
        <f t="shared" si="48"/>
        <v>0</v>
      </c>
      <c r="I178" s="15">
        <f t="shared" si="48"/>
        <v>0</v>
      </c>
      <c r="J178" s="15">
        <f t="shared" si="48"/>
        <v>0</v>
      </c>
      <c r="K178" s="15">
        <f t="shared" si="48"/>
        <v>0</v>
      </c>
      <c r="L178" s="15">
        <f t="shared" si="48"/>
        <v>0</v>
      </c>
      <c r="M178" s="15">
        <f t="shared" si="48"/>
        <v>0</v>
      </c>
      <c r="N178" s="15">
        <f t="shared" si="48"/>
        <v>0</v>
      </c>
    </row>
    <row r="179">
      <c r="B179" s="49" t="s">
        <v>138</v>
      </c>
      <c r="C179" s="18"/>
      <c r="D179" s="15">
        <f t="shared" si="40"/>
        <v>0</v>
      </c>
      <c r="E179" s="15">
        <f t="shared" si="41"/>
        <v>0</v>
      </c>
      <c r="F179" s="15">
        <f t="shared" ref="F179:N179" si="49">E179*(1+$H$21)</f>
        <v>0</v>
      </c>
      <c r="G179" s="15">
        <f t="shared" si="49"/>
        <v>0</v>
      </c>
      <c r="H179" s="15">
        <f t="shared" si="49"/>
        <v>0</v>
      </c>
      <c r="I179" s="15">
        <f t="shared" si="49"/>
        <v>0</v>
      </c>
      <c r="J179" s="15">
        <f t="shared" si="49"/>
        <v>0</v>
      </c>
      <c r="K179" s="15">
        <f t="shared" si="49"/>
        <v>0</v>
      </c>
      <c r="L179" s="15">
        <f t="shared" si="49"/>
        <v>0</v>
      </c>
      <c r="M179" s="15">
        <f t="shared" si="49"/>
        <v>0</v>
      </c>
      <c r="N179" s="15">
        <f t="shared" si="49"/>
        <v>0</v>
      </c>
    </row>
    <row r="180">
      <c r="B180" s="49" t="s">
        <v>139</v>
      </c>
      <c r="C180" s="18"/>
      <c r="D180" s="15">
        <f t="shared" si="40"/>
        <v>0</v>
      </c>
      <c r="E180" s="15">
        <f t="shared" si="41"/>
        <v>0</v>
      </c>
      <c r="F180" s="15">
        <f t="shared" ref="F180:N180" si="50">E180*(1+$H$21)</f>
        <v>0</v>
      </c>
      <c r="G180" s="15">
        <f t="shared" si="50"/>
        <v>0</v>
      </c>
      <c r="H180" s="15">
        <f t="shared" si="50"/>
        <v>0</v>
      </c>
      <c r="I180" s="15">
        <f t="shared" si="50"/>
        <v>0</v>
      </c>
      <c r="J180" s="15">
        <f t="shared" si="50"/>
        <v>0</v>
      </c>
      <c r="K180" s="15">
        <f t="shared" si="50"/>
        <v>0</v>
      </c>
      <c r="L180" s="15">
        <f t="shared" si="50"/>
        <v>0</v>
      </c>
      <c r="M180" s="15">
        <f t="shared" si="50"/>
        <v>0</v>
      </c>
      <c r="N180" s="15">
        <f t="shared" si="50"/>
        <v>0</v>
      </c>
    </row>
    <row r="181">
      <c r="B181" s="49" t="s">
        <v>140</v>
      </c>
      <c r="C181" s="18"/>
      <c r="D181" s="15">
        <f t="shared" si="40"/>
        <v>0</v>
      </c>
      <c r="E181" s="15">
        <f t="shared" si="41"/>
        <v>0</v>
      </c>
      <c r="F181" s="15">
        <f t="shared" ref="F181:N181" si="51">E181*(1+$H$21)</f>
        <v>0</v>
      </c>
      <c r="G181" s="15">
        <f t="shared" si="51"/>
        <v>0</v>
      </c>
      <c r="H181" s="15">
        <f t="shared" si="51"/>
        <v>0</v>
      </c>
      <c r="I181" s="15">
        <f t="shared" si="51"/>
        <v>0</v>
      </c>
      <c r="J181" s="15">
        <f t="shared" si="51"/>
        <v>0</v>
      </c>
      <c r="K181" s="15">
        <f t="shared" si="51"/>
        <v>0</v>
      </c>
      <c r="L181" s="15">
        <f t="shared" si="51"/>
        <v>0</v>
      </c>
      <c r="M181" s="15">
        <f t="shared" si="51"/>
        <v>0</v>
      </c>
      <c r="N181" s="15">
        <f t="shared" si="51"/>
        <v>0</v>
      </c>
    </row>
    <row r="182">
      <c r="B182" s="49" t="s">
        <v>141</v>
      </c>
      <c r="C182" s="34" t="str">
        <f>E165/12/$D$7*$H$25</f>
        <v>#DIV/0!</v>
      </c>
      <c r="D182" s="15" t="str">
        <f t="shared" si="40"/>
        <v>#DIV/0!</v>
      </c>
      <c r="E182" s="15" t="str">
        <f t="shared" si="41"/>
        <v>#DIV/0!</v>
      </c>
      <c r="F182" s="15" t="str">
        <f t="shared" ref="F182:N182" si="52">E182*(1+$H$21)</f>
        <v>#DIV/0!</v>
      </c>
      <c r="G182" s="15" t="str">
        <f t="shared" si="52"/>
        <v>#DIV/0!</v>
      </c>
      <c r="H182" s="15" t="str">
        <f t="shared" si="52"/>
        <v>#DIV/0!</v>
      </c>
      <c r="I182" s="15" t="str">
        <f t="shared" si="52"/>
        <v>#DIV/0!</v>
      </c>
      <c r="J182" s="15" t="str">
        <f t="shared" si="52"/>
        <v>#DIV/0!</v>
      </c>
      <c r="K182" s="15" t="str">
        <f t="shared" si="52"/>
        <v>#DIV/0!</v>
      </c>
      <c r="L182" s="15" t="str">
        <f t="shared" si="52"/>
        <v>#DIV/0!</v>
      </c>
      <c r="M182" s="15" t="str">
        <f t="shared" si="52"/>
        <v>#DIV/0!</v>
      </c>
      <c r="N182" s="15" t="str">
        <f t="shared" si="52"/>
        <v>#DIV/0!</v>
      </c>
    </row>
    <row r="183">
      <c r="B183" s="49" t="s">
        <v>142</v>
      </c>
      <c r="C183" s="18"/>
      <c r="D183" s="15">
        <f t="shared" si="40"/>
        <v>0</v>
      </c>
      <c r="E183" s="15">
        <f t="shared" si="41"/>
        <v>0</v>
      </c>
      <c r="F183" s="15">
        <f t="shared" ref="F183:N183" si="53">E183*(1+$H$21)</f>
        <v>0</v>
      </c>
      <c r="G183" s="15">
        <f t="shared" si="53"/>
        <v>0</v>
      </c>
      <c r="H183" s="15">
        <f t="shared" si="53"/>
        <v>0</v>
      </c>
      <c r="I183" s="15">
        <f t="shared" si="53"/>
        <v>0</v>
      </c>
      <c r="J183" s="15">
        <f t="shared" si="53"/>
        <v>0</v>
      </c>
      <c r="K183" s="15">
        <f t="shared" si="53"/>
        <v>0</v>
      </c>
      <c r="L183" s="15">
        <f t="shared" si="53"/>
        <v>0</v>
      </c>
      <c r="M183" s="15">
        <f t="shared" si="53"/>
        <v>0</v>
      </c>
      <c r="N183" s="15">
        <f t="shared" si="53"/>
        <v>0</v>
      </c>
    </row>
    <row r="184">
      <c r="B184" s="49" t="s">
        <v>143</v>
      </c>
      <c r="C184" s="18"/>
      <c r="D184" s="15">
        <f t="shared" si="40"/>
        <v>0</v>
      </c>
      <c r="E184" s="15">
        <f t="shared" si="41"/>
        <v>0</v>
      </c>
      <c r="F184" s="15">
        <f t="shared" ref="F184:N184" si="54">E184*(1+$H$21)</f>
        <v>0</v>
      </c>
      <c r="G184" s="15">
        <f t="shared" si="54"/>
        <v>0</v>
      </c>
      <c r="H184" s="15">
        <f t="shared" si="54"/>
        <v>0</v>
      </c>
      <c r="I184" s="15">
        <f t="shared" si="54"/>
        <v>0</v>
      </c>
      <c r="J184" s="15">
        <f t="shared" si="54"/>
        <v>0</v>
      </c>
      <c r="K184" s="15">
        <f t="shared" si="54"/>
        <v>0</v>
      </c>
      <c r="L184" s="15">
        <f t="shared" si="54"/>
        <v>0</v>
      </c>
      <c r="M184" s="15">
        <f t="shared" si="54"/>
        <v>0</v>
      </c>
      <c r="N184" s="15">
        <f t="shared" si="54"/>
        <v>0</v>
      </c>
    </row>
    <row r="185">
      <c r="B185" s="49" t="s">
        <v>144</v>
      </c>
      <c r="C185" s="18"/>
      <c r="D185" s="15">
        <f t="shared" si="40"/>
        <v>0</v>
      </c>
      <c r="E185" s="15">
        <f t="shared" si="41"/>
        <v>0</v>
      </c>
      <c r="F185" s="15">
        <f t="shared" ref="F185:N185" si="55">E185*(1+$H$21)</f>
        <v>0</v>
      </c>
      <c r="G185" s="15">
        <f t="shared" si="55"/>
        <v>0</v>
      </c>
      <c r="H185" s="15">
        <f t="shared" si="55"/>
        <v>0</v>
      </c>
      <c r="I185" s="15">
        <f t="shared" si="55"/>
        <v>0</v>
      </c>
      <c r="J185" s="15">
        <f t="shared" si="55"/>
        <v>0</v>
      </c>
      <c r="K185" s="15">
        <f t="shared" si="55"/>
        <v>0</v>
      </c>
      <c r="L185" s="15">
        <f t="shared" si="55"/>
        <v>0</v>
      </c>
      <c r="M185" s="15">
        <f t="shared" si="55"/>
        <v>0</v>
      </c>
      <c r="N185" s="15">
        <f t="shared" si="55"/>
        <v>0</v>
      </c>
    </row>
    <row r="186">
      <c r="B186" s="49" t="s">
        <v>145</v>
      </c>
      <c r="C186" s="18"/>
      <c r="D186" s="15">
        <f t="shared" si="40"/>
        <v>0</v>
      </c>
      <c r="E186" s="15">
        <f t="shared" si="41"/>
        <v>0</v>
      </c>
      <c r="F186" s="15">
        <f t="shared" ref="F186:N186" si="56">E186*(1+$H$21)</f>
        <v>0</v>
      </c>
      <c r="G186" s="15">
        <f t="shared" si="56"/>
        <v>0</v>
      </c>
      <c r="H186" s="15">
        <f t="shared" si="56"/>
        <v>0</v>
      </c>
      <c r="I186" s="15">
        <f t="shared" si="56"/>
        <v>0</v>
      </c>
      <c r="J186" s="15">
        <f t="shared" si="56"/>
        <v>0</v>
      </c>
      <c r="K186" s="15">
        <f t="shared" si="56"/>
        <v>0</v>
      </c>
      <c r="L186" s="15">
        <f t="shared" si="56"/>
        <v>0</v>
      </c>
      <c r="M186" s="15">
        <f t="shared" si="56"/>
        <v>0</v>
      </c>
      <c r="N186" s="15">
        <f t="shared" si="56"/>
        <v>0</v>
      </c>
    </row>
    <row r="187">
      <c r="B187" s="49" t="s">
        <v>146</v>
      </c>
      <c r="C187" s="18"/>
      <c r="D187" s="15">
        <f t="shared" si="40"/>
        <v>0</v>
      </c>
      <c r="E187" s="15">
        <f t="shared" si="41"/>
        <v>0</v>
      </c>
      <c r="F187" s="15">
        <f t="shared" ref="F187:N187" si="57">E187*(1+$H$21)</f>
        <v>0</v>
      </c>
      <c r="G187" s="15">
        <f t="shared" si="57"/>
        <v>0</v>
      </c>
      <c r="H187" s="15">
        <f t="shared" si="57"/>
        <v>0</v>
      </c>
      <c r="I187" s="15">
        <f t="shared" si="57"/>
        <v>0</v>
      </c>
      <c r="J187" s="15">
        <f t="shared" si="57"/>
        <v>0</v>
      </c>
      <c r="K187" s="15">
        <f t="shared" si="57"/>
        <v>0</v>
      </c>
      <c r="L187" s="15">
        <f t="shared" si="57"/>
        <v>0</v>
      </c>
      <c r="M187" s="15">
        <f t="shared" si="57"/>
        <v>0</v>
      </c>
      <c r="N187" s="15">
        <f t="shared" si="57"/>
        <v>0</v>
      </c>
    </row>
    <row r="188">
      <c r="B188" s="49" t="s">
        <v>147</v>
      </c>
      <c r="C188" s="18"/>
      <c r="D188" s="15">
        <f t="shared" si="40"/>
        <v>0</v>
      </c>
      <c r="E188" s="15">
        <f t="shared" si="41"/>
        <v>0</v>
      </c>
      <c r="F188" s="15">
        <f t="shared" ref="F188:N188" si="58">E188*(1+$H$21)</f>
        <v>0</v>
      </c>
      <c r="G188" s="15">
        <f t="shared" si="58"/>
        <v>0</v>
      </c>
      <c r="H188" s="15">
        <f t="shared" si="58"/>
        <v>0</v>
      </c>
      <c r="I188" s="15">
        <f t="shared" si="58"/>
        <v>0</v>
      </c>
      <c r="J188" s="15">
        <f t="shared" si="58"/>
        <v>0</v>
      </c>
      <c r="K188" s="15">
        <f t="shared" si="58"/>
        <v>0</v>
      </c>
      <c r="L188" s="15">
        <f t="shared" si="58"/>
        <v>0</v>
      </c>
      <c r="M188" s="15">
        <f t="shared" si="58"/>
        <v>0</v>
      </c>
      <c r="N188" s="15">
        <f t="shared" si="58"/>
        <v>0</v>
      </c>
    </row>
    <row r="189">
      <c r="B189" s="49" t="s">
        <v>148</v>
      </c>
      <c r="C189" s="18"/>
      <c r="D189" s="15">
        <f t="shared" si="40"/>
        <v>0</v>
      </c>
      <c r="E189" s="15">
        <f t="shared" si="41"/>
        <v>0</v>
      </c>
      <c r="F189" s="15">
        <f t="shared" ref="F189:N189" si="59">E189*(1+$H$21)</f>
        <v>0</v>
      </c>
      <c r="G189" s="15">
        <f t="shared" si="59"/>
        <v>0</v>
      </c>
      <c r="H189" s="15">
        <f t="shared" si="59"/>
        <v>0</v>
      </c>
      <c r="I189" s="15">
        <f t="shared" si="59"/>
        <v>0</v>
      </c>
      <c r="J189" s="15">
        <f t="shared" si="59"/>
        <v>0</v>
      </c>
      <c r="K189" s="15">
        <f t="shared" si="59"/>
        <v>0</v>
      </c>
      <c r="L189" s="15">
        <f t="shared" si="59"/>
        <v>0</v>
      </c>
      <c r="M189" s="15">
        <f t="shared" si="59"/>
        <v>0</v>
      </c>
      <c r="N189" s="15">
        <f t="shared" si="59"/>
        <v>0</v>
      </c>
    </row>
    <row r="190">
      <c r="B190" s="49" t="s">
        <v>149</v>
      </c>
      <c r="C190" s="18"/>
      <c r="D190" s="15">
        <f t="shared" si="40"/>
        <v>0</v>
      </c>
      <c r="E190" s="15">
        <f t="shared" si="41"/>
        <v>0</v>
      </c>
      <c r="F190" s="15">
        <f t="shared" ref="F190:N190" si="60">E190*(1+$H$21)</f>
        <v>0</v>
      </c>
      <c r="G190" s="15">
        <f t="shared" si="60"/>
        <v>0</v>
      </c>
      <c r="H190" s="15">
        <f t="shared" si="60"/>
        <v>0</v>
      </c>
      <c r="I190" s="15">
        <f t="shared" si="60"/>
        <v>0</v>
      </c>
      <c r="J190" s="15">
        <f t="shared" si="60"/>
        <v>0</v>
      </c>
      <c r="K190" s="15">
        <f t="shared" si="60"/>
        <v>0</v>
      </c>
      <c r="L190" s="15">
        <f t="shared" si="60"/>
        <v>0</v>
      </c>
      <c r="M190" s="15">
        <f t="shared" si="60"/>
        <v>0</v>
      </c>
      <c r="N190" s="15">
        <f t="shared" si="60"/>
        <v>0</v>
      </c>
    </row>
    <row r="191">
      <c r="B191" s="49" t="s">
        <v>150</v>
      </c>
      <c r="C191" s="18"/>
      <c r="D191" s="15">
        <f t="shared" si="40"/>
        <v>0</v>
      </c>
      <c r="E191" s="15">
        <f t="shared" si="41"/>
        <v>0</v>
      </c>
      <c r="F191" s="15">
        <f t="shared" ref="F191:N191" si="61">E191*(1+$H$21)</f>
        <v>0</v>
      </c>
      <c r="G191" s="15">
        <f t="shared" si="61"/>
        <v>0</v>
      </c>
      <c r="H191" s="15">
        <f t="shared" si="61"/>
        <v>0</v>
      </c>
      <c r="I191" s="15">
        <f t="shared" si="61"/>
        <v>0</v>
      </c>
      <c r="J191" s="15">
        <f t="shared" si="61"/>
        <v>0</v>
      </c>
      <c r="K191" s="15">
        <f t="shared" si="61"/>
        <v>0</v>
      </c>
      <c r="L191" s="15">
        <f t="shared" si="61"/>
        <v>0</v>
      </c>
      <c r="M191" s="15">
        <f t="shared" si="61"/>
        <v>0</v>
      </c>
      <c r="N191" s="15">
        <f t="shared" si="61"/>
        <v>0</v>
      </c>
    </row>
    <row r="192">
      <c r="B192" s="49" t="s">
        <v>151</v>
      </c>
      <c r="C192" s="34" t="str">
        <f>$L$21/$D$7/12</f>
        <v>#DIV/0!</v>
      </c>
      <c r="D192" s="15" t="str">
        <f t="shared" si="40"/>
        <v>#DIV/0!</v>
      </c>
      <c r="E192" s="15" t="str">
        <f t="shared" si="41"/>
        <v>#DIV/0!</v>
      </c>
      <c r="F192" s="15" t="str">
        <f t="shared" ref="F192:N192" si="62">E192*(1+0)</f>
        <v>#DIV/0!</v>
      </c>
      <c r="G192" s="15" t="str">
        <f t="shared" si="62"/>
        <v>#DIV/0!</v>
      </c>
      <c r="H192" s="15" t="str">
        <f t="shared" si="62"/>
        <v>#DIV/0!</v>
      </c>
      <c r="I192" s="15" t="str">
        <f t="shared" si="62"/>
        <v>#DIV/0!</v>
      </c>
      <c r="J192" s="15" t="str">
        <f t="shared" si="62"/>
        <v>#DIV/0!</v>
      </c>
      <c r="K192" s="15" t="str">
        <f t="shared" si="62"/>
        <v>#DIV/0!</v>
      </c>
      <c r="L192" s="15" t="str">
        <f t="shared" si="62"/>
        <v>#DIV/0!</v>
      </c>
      <c r="M192" s="15" t="str">
        <f t="shared" si="62"/>
        <v>#DIV/0!</v>
      </c>
      <c r="N192" s="15" t="str">
        <f t="shared" si="62"/>
        <v>#DIV/0!</v>
      </c>
    </row>
    <row r="193">
      <c r="B193" s="48" t="s">
        <v>152</v>
      </c>
      <c r="C193" s="50" t="str">
        <f t="shared" ref="C193:N193" si="63">SUM(C171:C192)</f>
        <v>#DIV/0!</v>
      </c>
      <c r="D193" s="51" t="str">
        <f t="shared" si="63"/>
        <v>#DIV/0!</v>
      </c>
      <c r="E193" s="51" t="str">
        <f t="shared" si="63"/>
        <v>#DIV/0!</v>
      </c>
      <c r="F193" s="51" t="str">
        <f t="shared" si="63"/>
        <v>#DIV/0!</v>
      </c>
      <c r="G193" s="51" t="str">
        <f t="shared" si="63"/>
        <v>#DIV/0!</v>
      </c>
      <c r="H193" s="51" t="str">
        <f t="shared" si="63"/>
        <v>#DIV/0!</v>
      </c>
      <c r="I193" s="51" t="str">
        <f t="shared" si="63"/>
        <v>#DIV/0!</v>
      </c>
      <c r="J193" s="51" t="str">
        <f t="shared" si="63"/>
        <v>#DIV/0!</v>
      </c>
      <c r="K193" s="51" t="str">
        <f t="shared" si="63"/>
        <v>#DIV/0!</v>
      </c>
      <c r="L193" s="51" t="str">
        <f t="shared" si="63"/>
        <v>#DIV/0!</v>
      </c>
      <c r="M193" s="51" t="str">
        <f t="shared" si="63"/>
        <v>#DIV/0!</v>
      </c>
      <c r="N193" s="51" t="str">
        <f t="shared" si="63"/>
        <v>#DIV/0!</v>
      </c>
    </row>
    <row r="195">
      <c r="B195" s="9" t="s">
        <v>153</v>
      </c>
      <c r="C195" s="10"/>
      <c r="D195" s="52" t="str">
        <f t="shared" ref="D195:N195" si="64">D165-D193</f>
        <v>#DIV/0!</v>
      </c>
      <c r="E195" s="52" t="str">
        <f t="shared" si="64"/>
        <v>#DIV/0!</v>
      </c>
      <c r="F195" s="52" t="str">
        <f t="shared" si="64"/>
        <v>#DIV/0!</v>
      </c>
      <c r="G195" s="52" t="str">
        <f t="shared" si="64"/>
        <v>#DIV/0!</v>
      </c>
      <c r="H195" s="52" t="str">
        <f t="shared" si="64"/>
        <v>#DIV/0!</v>
      </c>
      <c r="I195" s="52" t="str">
        <f t="shared" si="64"/>
        <v>#DIV/0!</v>
      </c>
      <c r="J195" s="52" t="str">
        <f t="shared" si="64"/>
        <v>#DIV/0!</v>
      </c>
      <c r="K195" s="52" t="str">
        <f t="shared" si="64"/>
        <v>#DIV/0!</v>
      </c>
      <c r="L195" s="52" t="str">
        <f t="shared" si="64"/>
        <v>#DIV/0!</v>
      </c>
      <c r="M195" s="52" t="str">
        <f t="shared" si="64"/>
        <v>#DIV/0!</v>
      </c>
      <c r="N195" s="52" t="str">
        <f t="shared" si="64"/>
        <v>#DIV/0!</v>
      </c>
    </row>
    <row r="197">
      <c r="B197" s="11" t="s">
        <v>154</v>
      </c>
      <c r="E197" s="16">
        <f t="shared" ref="E197:N197" si="65">IF(E165=0,0,E193/E165)</f>
        <v>0</v>
      </c>
      <c r="F197" s="16">
        <f t="shared" si="65"/>
        <v>0</v>
      </c>
      <c r="G197" s="16">
        <f t="shared" si="65"/>
        <v>0</v>
      </c>
      <c r="H197" s="16">
        <f t="shared" si="65"/>
        <v>0</v>
      </c>
      <c r="I197" s="16">
        <f t="shared" si="65"/>
        <v>0</v>
      </c>
      <c r="J197" s="16">
        <f t="shared" si="65"/>
        <v>0</v>
      </c>
      <c r="K197" s="16">
        <f t="shared" si="65"/>
        <v>0</v>
      </c>
      <c r="L197" s="16">
        <f t="shared" si="65"/>
        <v>0</v>
      </c>
      <c r="M197" s="16">
        <f t="shared" si="65"/>
        <v>0</v>
      </c>
      <c r="N197" s="16">
        <f t="shared" si="65"/>
        <v>0</v>
      </c>
    </row>
    <row r="198">
      <c r="B198" s="11" t="s">
        <v>155</v>
      </c>
      <c r="E198" s="15">
        <f t="shared" ref="E198:N198" si="66">IF($D$7=0,0,E195/$D$7)</f>
        <v>0</v>
      </c>
      <c r="F198" s="15">
        <f t="shared" si="66"/>
        <v>0</v>
      </c>
      <c r="G198" s="15">
        <f t="shared" si="66"/>
        <v>0</v>
      </c>
      <c r="H198" s="15">
        <f t="shared" si="66"/>
        <v>0</v>
      </c>
      <c r="I198" s="15">
        <f t="shared" si="66"/>
        <v>0</v>
      </c>
      <c r="J198" s="15">
        <f t="shared" si="66"/>
        <v>0</v>
      </c>
      <c r="K198" s="15">
        <f t="shared" si="66"/>
        <v>0</v>
      </c>
      <c r="L198" s="15">
        <f t="shared" si="66"/>
        <v>0</v>
      </c>
      <c r="M198" s="15">
        <f t="shared" si="66"/>
        <v>0</v>
      </c>
      <c r="N198" s="15">
        <f t="shared" si="66"/>
        <v>0</v>
      </c>
    </row>
    <row r="200">
      <c r="B200" s="22" t="s">
        <v>43</v>
      </c>
    </row>
    <row r="202">
      <c r="B202" s="24" t="s">
        <v>156</v>
      </c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</row>
    <row r="204">
      <c r="B204" s="53" t="s">
        <v>157</v>
      </c>
      <c r="C204" s="54"/>
      <c r="D204" s="54"/>
      <c r="E204" s="54"/>
    </row>
    <row r="205">
      <c r="B205" s="11" t="s">
        <v>158</v>
      </c>
      <c r="D205" s="18"/>
    </row>
    <row r="206">
      <c r="B206" s="11" t="s">
        <v>159</v>
      </c>
      <c r="D206" s="33"/>
    </row>
    <row r="207">
      <c r="B207" s="11" t="s">
        <v>160</v>
      </c>
      <c r="D207" s="14"/>
    </row>
    <row r="208">
      <c r="B208" s="11" t="s">
        <v>161</v>
      </c>
      <c r="D208" s="15">
        <f>IF(D205=0,0,PMT(D206/12,D207,-D205))</f>
        <v>0</v>
      </c>
    </row>
    <row r="209">
      <c r="B209" s="11" t="s">
        <v>162</v>
      </c>
      <c r="D209" s="15">
        <f>D208*12</f>
        <v>0</v>
      </c>
    </row>
    <row r="210">
      <c r="B210" s="23"/>
      <c r="D210" s="35"/>
    </row>
    <row r="211">
      <c r="B211" s="23"/>
      <c r="D211" s="15"/>
    </row>
    <row r="212">
      <c r="D212" s="15"/>
    </row>
    <row r="214">
      <c r="B214" s="53" t="s">
        <v>163</v>
      </c>
      <c r="C214" s="54"/>
      <c r="D214" s="54"/>
      <c r="E214" s="54"/>
    </row>
    <row r="215">
      <c r="B215" s="11" t="s">
        <v>164</v>
      </c>
      <c r="D215" s="18"/>
    </row>
    <row r="216">
      <c r="B216" s="11" t="s">
        <v>159</v>
      </c>
      <c r="D216" s="33"/>
    </row>
    <row r="217">
      <c r="B217" s="11" t="s">
        <v>165</v>
      </c>
      <c r="D217" s="14"/>
    </row>
    <row r="218">
      <c r="B218" s="11" t="s">
        <v>166</v>
      </c>
      <c r="D218" s="14"/>
    </row>
    <row r="219">
      <c r="B219" s="11" t="s">
        <v>167</v>
      </c>
      <c r="D219" s="14"/>
    </row>
    <row r="220">
      <c r="B220" s="11" t="s">
        <v>168</v>
      </c>
      <c r="D220" s="15">
        <f>IF(D215=0,0,PMT(D216/12,D218,-D215))</f>
        <v>0</v>
      </c>
    </row>
    <row r="221">
      <c r="B221" s="11" t="s">
        <v>169</v>
      </c>
      <c r="D221" s="15">
        <f>D215*D216/12</f>
        <v>0</v>
      </c>
    </row>
    <row r="222">
      <c r="B222" s="11" t="s">
        <v>162</v>
      </c>
      <c r="D222" s="15">
        <f>IF(D219&gt;0,D221*12,D220*12)</f>
        <v>0</v>
      </c>
    </row>
    <row r="223">
      <c r="D223" s="15"/>
    </row>
    <row r="224">
      <c r="B224" s="53" t="s">
        <v>170</v>
      </c>
      <c r="C224" s="54"/>
      <c r="D224" s="54"/>
      <c r="E224" s="54"/>
    </row>
    <row r="225">
      <c r="B225" s="11" t="s">
        <v>164</v>
      </c>
      <c r="D225" s="18"/>
    </row>
    <row r="226">
      <c r="B226" s="11" t="s">
        <v>159</v>
      </c>
      <c r="D226" s="33"/>
    </row>
    <row r="227">
      <c r="B227" s="11" t="s">
        <v>165</v>
      </c>
      <c r="D227" s="14"/>
    </row>
    <row r="228">
      <c r="B228" s="11" t="s">
        <v>171</v>
      </c>
      <c r="D228" s="14"/>
    </row>
    <row r="229">
      <c r="B229" s="11" t="s">
        <v>172</v>
      </c>
      <c r="D229" s="15">
        <f>IF(D228=1,D225*D226/12,IF(D225=0,0,PMT(D226/12,D227,-D225)))</f>
        <v>0</v>
      </c>
    </row>
    <row r="230">
      <c r="B230" s="11" t="s">
        <v>162</v>
      </c>
      <c r="D230" s="15">
        <f>D229*12</f>
        <v>0</v>
      </c>
    </row>
    <row r="232">
      <c r="B232" s="53" t="s">
        <v>173</v>
      </c>
      <c r="C232" s="54"/>
      <c r="D232" s="54"/>
      <c r="E232" s="54"/>
    </row>
    <row r="233">
      <c r="B233" s="11" t="s">
        <v>164</v>
      </c>
      <c r="D233" s="18"/>
    </row>
    <row r="234">
      <c r="B234" s="11" t="s">
        <v>174</v>
      </c>
      <c r="D234" s="55"/>
    </row>
    <row r="235">
      <c r="B235" s="11" t="s">
        <v>159</v>
      </c>
      <c r="D235" s="33"/>
    </row>
    <row r="236">
      <c r="B236" s="11" t="s">
        <v>165</v>
      </c>
      <c r="D236" s="14"/>
    </row>
    <row r="237">
      <c r="B237" s="11" t="s">
        <v>175</v>
      </c>
      <c r="D237" s="56"/>
    </row>
    <row r="238">
      <c r="B238" s="11" t="s">
        <v>161</v>
      </c>
      <c r="D238" s="15">
        <f>IF(D233=0,0,PMT(D235/12,D236,-D233))</f>
        <v>0</v>
      </c>
    </row>
    <row r="239">
      <c r="B239" s="11" t="s">
        <v>162</v>
      </c>
      <c r="D239" s="15">
        <f>D238*12</f>
        <v>0</v>
      </c>
    </row>
    <row r="241">
      <c r="B241" s="57" t="s">
        <v>176</v>
      </c>
      <c r="C241" s="58"/>
      <c r="D241" s="58"/>
      <c r="E241" s="58"/>
    </row>
    <row r="242">
      <c r="B242" s="59" t="s">
        <v>177</v>
      </c>
      <c r="D242" s="15">
        <f>D205+D215+D225+D233</f>
        <v>0</v>
      </c>
    </row>
    <row r="243">
      <c r="B243" s="59" t="s">
        <v>178</v>
      </c>
      <c r="D243" s="15">
        <f>D209+D222+D230+D239</f>
        <v>0</v>
      </c>
    </row>
    <row r="244">
      <c r="B244" s="59" t="s">
        <v>179</v>
      </c>
      <c r="D244" s="17">
        <f>IF(D242=0,0,(D205*D206+D215*D216+D225*D226+D233*D235)/D242)</f>
        <v>0</v>
      </c>
    </row>
    <row r="245">
      <c r="B245" s="59" t="s">
        <v>180</v>
      </c>
      <c r="D245" s="17">
        <f>IF(D242=0,0,E195/D242)</f>
        <v>0</v>
      </c>
    </row>
    <row r="246">
      <c r="B246" s="59" t="s">
        <v>181</v>
      </c>
      <c r="D246" s="17">
        <f>IF(D9=0,0,D242/D9)</f>
        <v>0</v>
      </c>
    </row>
    <row r="248">
      <c r="B248" s="22" t="s">
        <v>43</v>
      </c>
    </row>
    <row r="250">
      <c r="B250" s="24" t="s">
        <v>182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</row>
    <row r="251">
      <c r="B251" s="13" t="s">
        <v>183</v>
      </c>
      <c r="C251" s="13" t="s">
        <v>184</v>
      </c>
      <c r="D251" s="13" t="s">
        <v>96</v>
      </c>
      <c r="E251" s="13" t="s">
        <v>97</v>
      </c>
      <c r="F251" s="13" t="s">
        <v>98</v>
      </c>
      <c r="G251" s="13" t="s">
        <v>99</v>
      </c>
      <c r="H251" s="13" t="s">
        <v>100</v>
      </c>
      <c r="I251" s="13" t="s">
        <v>101</v>
      </c>
      <c r="J251" s="13" t="s">
        <v>102</v>
      </c>
      <c r="K251" s="13" t="s">
        <v>103</v>
      </c>
      <c r="L251" s="13" t="s">
        <v>104</v>
      </c>
      <c r="M251" s="13" t="s">
        <v>105</v>
      </c>
    </row>
    <row r="252">
      <c r="B252" s="11" t="s">
        <v>185</v>
      </c>
      <c r="C252" s="15"/>
      <c r="D252" s="15" t="str">
        <f t="shared" ref="D252:M252" si="67">E195</f>
        <v>#DIV/0!</v>
      </c>
      <c r="E252" s="15" t="str">
        <f t="shared" si="67"/>
        <v>#DIV/0!</v>
      </c>
      <c r="F252" s="15" t="str">
        <f t="shared" si="67"/>
        <v>#DIV/0!</v>
      </c>
      <c r="G252" s="15" t="str">
        <f t="shared" si="67"/>
        <v>#DIV/0!</v>
      </c>
      <c r="H252" s="15" t="str">
        <f t="shared" si="67"/>
        <v>#DIV/0!</v>
      </c>
      <c r="I252" s="15" t="str">
        <f t="shared" si="67"/>
        <v>#DIV/0!</v>
      </c>
      <c r="J252" s="15" t="str">
        <f t="shared" si="67"/>
        <v>#DIV/0!</v>
      </c>
      <c r="K252" s="15" t="str">
        <f t="shared" si="67"/>
        <v>#DIV/0!</v>
      </c>
      <c r="L252" s="15" t="str">
        <f t="shared" si="67"/>
        <v>#DIV/0!</v>
      </c>
      <c r="M252" s="15" t="str">
        <f t="shared" si="67"/>
        <v>#DIV/0!</v>
      </c>
    </row>
    <row r="253">
      <c r="B253" s="11" t="s">
        <v>186</v>
      </c>
      <c r="C253" s="15"/>
      <c r="D253" s="15">
        <f t="shared" ref="D253:M253" si="68">-$D$209</f>
        <v>0</v>
      </c>
      <c r="E253" s="15">
        <f t="shared" si="68"/>
        <v>0</v>
      </c>
      <c r="F253" s="15">
        <f t="shared" si="68"/>
        <v>0</v>
      </c>
      <c r="G253" s="15">
        <f t="shared" si="68"/>
        <v>0</v>
      </c>
      <c r="H253" s="15">
        <f t="shared" si="68"/>
        <v>0</v>
      </c>
      <c r="I253" s="15">
        <f t="shared" si="68"/>
        <v>0</v>
      </c>
      <c r="J253" s="15">
        <f t="shared" si="68"/>
        <v>0</v>
      </c>
      <c r="K253" s="15">
        <f t="shared" si="68"/>
        <v>0</v>
      </c>
      <c r="L253" s="15">
        <f t="shared" si="68"/>
        <v>0</v>
      </c>
      <c r="M253" s="15">
        <f t="shared" si="68"/>
        <v>0</v>
      </c>
    </row>
    <row r="254">
      <c r="B254" s="11" t="s">
        <v>187</v>
      </c>
      <c r="C254" s="15"/>
      <c r="D254" s="15">
        <f t="shared" ref="D254:M254" si="69">-$D$222</f>
        <v>0</v>
      </c>
      <c r="E254" s="15">
        <f t="shared" si="69"/>
        <v>0</v>
      </c>
      <c r="F254" s="15">
        <f t="shared" si="69"/>
        <v>0</v>
      </c>
      <c r="G254" s="15">
        <f t="shared" si="69"/>
        <v>0</v>
      </c>
      <c r="H254" s="15">
        <f t="shared" si="69"/>
        <v>0</v>
      </c>
      <c r="I254" s="15">
        <f t="shared" si="69"/>
        <v>0</v>
      </c>
      <c r="J254" s="15">
        <f t="shared" si="69"/>
        <v>0</v>
      </c>
      <c r="K254" s="15">
        <f t="shared" si="69"/>
        <v>0</v>
      </c>
      <c r="L254" s="15">
        <f t="shared" si="69"/>
        <v>0</v>
      </c>
      <c r="M254" s="15">
        <f t="shared" si="69"/>
        <v>0</v>
      </c>
    </row>
    <row r="255">
      <c r="B255" s="11" t="s">
        <v>188</v>
      </c>
      <c r="C255" s="15"/>
      <c r="D255" s="15">
        <f t="shared" ref="D255:M255" si="70">-$D$230</f>
        <v>0</v>
      </c>
      <c r="E255" s="15">
        <f t="shared" si="70"/>
        <v>0</v>
      </c>
      <c r="F255" s="15">
        <f t="shared" si="70"/>
        <v>0</v>
      </c>
      <c r="G255" s="15">
        <f t="shared" si="70"/>
        <v>0</v>
      </c>
      <c r="H255" s="15">
        <f t="shared" si="70"/>
        <v>0</v>
      </c>
      <c r="I255" s="15">
        <f t="shared" si="70"/>
        <v>0</v>
      </c>
      <c r="J255" s="15">
        <f t="shared" si="70"/>
        <v>0</v>
      </c>
      <c r="K255" s="15">
        <f t="shared" si="70"/>
        <v>0</v>
      </c>
      <c r="L255" s="15">
        <f t="shared" si="70"/>
        <v>0</v>
      </c>
      <c r="M255" s="15">
        <f t="shared" si="70"/>
        <v>0</v>
      </c>
    </row>
    <row r="256">
      <c r="B256" s="11" t="s">
        <v>189</v>
      </c>
      <c r="C256" s="15"/>
      <c r="D256" s="15">
        <f t="shared" ref="D256:M256" si="71">-$D$239</f>
        <v>0</v>
      </c>
      <c r="E256" s="15">
        <f t="shared" si="71"/>
        <v>0</v>
      </c>
      <c r="F256" s="15">
        <f t="shared" si="71"/>
        <v>0</v>
      </c>
      <c r="G256" s="15">
        <f t="shared" si="71"/>
        <v>0</v>
      </c>
      <c r="H256" s="15">
        <f t="shared" si="71"/>
        <v>0</v>
      </c>
      <c r="I256" s="15">
        <f t="shared" si="71"/>
        <v>0</v>
      </c>
      <c r="J256" s="15">
        <f t="shared" si="71"/>
        <v>0</v>
      </c>
      <c r="K256" s="15">
        <f t="shared" si="71"/>
        <v>0</v>
      </c>
      <c r="L256" s="15">
        <f t="shared" si="71"/>
        <v>0</v>
      </c>
      <c r="M256" s="15">
        <f t="shared" si="71"/>
        <v>0</v>
      </c>
    </row>
    <row r="257">
      <c r="B257" s="13" t="s">
        <v>190</v>
      </c>
      <c r="C257" s="15"/>
      <c r="D257" s="15">
        <f t="shared" ref="D257:M257" si="72">SUM(D253:D256)</f>
        <v>0</v>
      </c>
      <c r="E257" s="15">
        <f t="shared" si="72"/>
        <v>0</v>
      </c>
      <c r="F257" s="15">
        <f t="shared" si="72"/>
        <v>0</v>
      </c>
      <c r="G257" s="15">
        <f t="shared" si="72"/>
        <v>0</v>
      </c>
      <c r="H257" s="15">
        <f t="shared" si="72"/>
        <v>0</v>
      </c>
      <c r="I257" s="15">
        <f t="shared" si="72"/>
        <v>0</v>
      </c>
      <c r="J257" s="15">
        <f t="shared" si="72"/>
        <v>0</v>
      </c>
      <c r="K257" s="15">
        <f t="shared" si="72"/>
        <v>0</v>
      </c>
      <c r="L257" s="15">
        <f t="shared" si="72"/>
        <v>0</v>
      </c>
      <c r="M257" s="15">
        <f t="shared" si="72"/>
        <v>0</v>
      </c>
    </row>
    <row r="258">
      <c r="B258" s="11" t="s">
        <v>191</v>
      </c>
      <c r="C258" s="15"/>
      <c r="D258" s="15">
        <f>-$D$25-$L$22</f>
        <v>0</v>
      </c>
      <c r="E258" s="15">
        <f t="shared" ref="E258:M258" si="73">-$L$22</f>
        <v>0</v>
      </c>
      <c r="F258" s="15">
        <f t="shared" si="73"/>
        <v>0</v>
      </c>
      <c r="G258" s="15">
        <f t="shared" si="73"/>
        <v>0</v>
      </c>
      <c r="H258" s="15">
        <f t="shared" si="73"/>
        <v>0</v>
      </c>
      <c r="I258" s="15">
        <f t="shared" si="73"/>
        <v>0</v>
      </c>
      <c r="J258" s="15">
        <f t="shared" si="73"/>
        <v>0</v>
      </c>
      <c r="K258" s="15">
        <f t="shared" si="73"/>
        <v>0</v>
      </c>
      <c r="L258" s="15">
        <f t="shared" si="73"/>
        <v>0</v>
      </c>
      <c r="M258" s="15">
        <f t="shared" si="73"/>
        <v>0</v>
      </c>
    </row>
    <row r="259">
      <c r="B259" s="44" t="s">
        <v>192</v>
      </c>
      <c r="C259" s="15"/>
      <c r="D259" s="15" t="str">
        <f t="shared" ref="D259:M259" si="74">D252+D257+D258</f>
        <v>#DIV/0!</v>
      </c>
      <c r="E259" s="15" t="str">
        <f t="shared" si="74"/>
        <v>#DIV/0!</v>
      </c>
      <c r="F259" s="15" t="str">
        <f t="shared" si="74"/>
        <v>#DIV/0!</v>
      </c>
      <c r="G259" s="15" t="str">
        <f t="shared" si="74"/>
        <v>#DIV/0!</v>
      </c>
      <c r="H259" s="15" t="str">
        <f t="shared" si="74"/>
        <v>#DIV/0!</v>
      </c>
      <c r="I259" s="15" t="str">
        <f t="shared" si="74"/>
        <v>#DIV/0!</v>
      </c>
      <c r="J259" s="15" t="str">
        <f t="shared" si="74"/>
        <v>#DIV/0!</v>
      </c>
      <c r="K259" s="15" t="str">
        <f t="shared" si="74"/>
        <v>#DIV/0!</v>
      </c>
      <c r="L259" s="15" t="str">
        <f t="shared" si="74"/>
        <v>#DIV/0!</v>
      </c>
      <c r="M259" s="15" t="str">
        <f t="shared" si="74"/>
        <v>#DIV/0!</v>
      </c>
    </row>
    <row r="261">
      <c r="B261" s="11" t="s">
        <v>193</v>
      </c>
      <c r="D261" s="19">
        <f t="shared" ref="D261:M261" si="75">IF(D257=0,0,D252/-D257)</f>
        <v>0</v>
      </c>
      <c r="E261" s="19">
        <f t="shared" si="75"/>
        <v>0</v>
      </c>
      <c r="F261" s="19">
        <f t="shared" si="75"/>
        <v>0</v>
      </c>
      <c r="G261" s="19">
        <f t="shared" si="75"/>
        <v>0</v>
      </c>
      <c r="H261" s="19">
        <f t="shared" si="75"/>
        <v>0</v>
      </c>
      <c r="I261" s="19">
        <f t="shared" si="75"/>
        <v>0</v>
      </c>
      <c r="J261" s="19">
        <f t="shared" si="75"/>
        <v>0</v>
      </c>
      <c r="K261" s="19">
        <f t="shared" si="75"/>
        <v>0</v>
      </c>
      <c r="L261" s="19">
        <f t="shared" si="75"/>
        <v>0</v>
      </c>
      <c r="M261" s="19">
        <f t="shared" si="75"/>
        <v>0</v>
      </c>
    </row>
    <row r="262">
      <c r="B262" s="11" t="s">
        <v>194</v>
      </c>
      <c r="D262" s="17">
        <f t="shared" ref="D262:M262" si="76">IF(D277=0,0,D259/D277)</f>
        <v>0</v>
      </c>
      <c r="E262" s="17">
        <f t="shared" si="76"/>
        <v>0</v>
      </c>
      <c r="F262" s="17">
        <f t="shared" si="76"/>
        <v>0</v>
      </c>
      <c r="G262" s="17">
        <f t="shared" si="76"/>
        <v>0</v>
      </c>
      <c r="H262" s="17">
        <f t="shared" si="76"/>
        <v>0</v>
      </c>
      <c r="I262" s="17">
        <f t="shared" si="76"/>
        <v>0</v>
      </c>
      <c r="J262" s="17">
        <f t="shared" si="76"/>
        <v>0</v>
      </c>
      <c r="K262" s="17">
        <f t="shared" si="76"/>
        <v>0</v>
      </c>
      <c r="L262" s="17">
        <f t="shared" si="76"/>
        <v>0</v>
      </c>
      <c r="M262" s="17">
        <f t="shared" si="76"/>
        <v>0</v>
      </c>
    </row>
    <row r="264">
      <c r="B264" s="60" t="s">
        <v>195</v>
      </c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</row>
    <row r="265">
      <c r="B265" s="11" t="s">
        <v>196</v>
      </c>
      <c r="H265" s="17" t="str">
        <f>$H$26</f>
        <v/>
      </c>
      <c r="M265" s="17" t="str">
        <f>$H$27</f>
        <v/>
      </c>
    </row>
    <row r="266">
      <c r="B266" s="11" t="s">
        <v>197</v>
      </c>
      <c r="H266" s="15" t="str">
        <f>I252</f>
        <v>#DIV/0!</v>
      </c>
      <c r="I266" s="15"/>
      <c r="J266" s="15"/>
      <c r="K266" s="15"/>
      <c r="L266" s="15"/>
      <c r="M266" s="15" t="str">
        <f>M252*(1+$H$20)</f>
        <v>#DIV/0!</v>
      </c>
    </row>
    <row r="267">
      <c r="B267" s="11" t="s">
        <v>198</v>
      </c>
      <c r="H267" s="15">
        <f>IF(H265=0,0,H266/H265)</f>
        <v>0</v>
      </c>
      <c r="I267" s="15"/>
      <c r="J267" s="15"/>
      <c r="K267" s="15"/>
      <c r="L267" s="15"/>
      <c r="M267" s="15">
        <f>IF(M265=0,0,M266/M265)</f>
        <v>0</v>
      </c>
    </row>
    <row r="268">
      <c r="B268" s="11" t="s">
        <v>199</v>
      </c>
      <c r="H268" s="15">
        <f>-H267*$L$20</f>
        <v>0</v>
      </c>
      <c r="I268" s="15"/>
      <c r="J268" s="15"/>
      <c r="K268" s="15"/>
      <c r="L268" s="15"/>
      <c r="M268" s="15">
        <f>-M267*$L$20</f>
        <v>0</v>
      </c>
    </row>
    <row r="269">
      <c r="B269" s="11" t="s">
        <v>200</v>
      </c>
      <c r="H269" s="15">
        <f>-$D$242</f>
        <v>0</v>
      </c>
      <c r="I269" s="15"/>
      <c r="J269" s="15"/>
      <c r="K269" s="15"/>
      <c r="L269" s="15"/>
      <c r="M269" s="15">
        <f>-$D$242</f>
        <v>0</v>
      </c>
    </row>
    <row r="270">
      <c r="B270" s="62" t="s">
        <v>201</v>
      </c>
      <c r="H270" s="63">
        <f>H267+H268+H269</f>
        <v>0</v>
      </c>
      <c r="I270" s="63"/>
      <c r="J270" s="63"/>
      <c r="K270" s="63"/>
      <c r="L270" s="63"/>
      <c r="M270" s="63">
        <f>M267+M268+M269</f>
        <v>0</v>
      </c>
    </row>
    <row r="272">
      <c r="B272" s="5" t="s">
        <v>202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>
      <c r="B273" s="11" t="s">
        <v>203</v>
      </c>
      <c r="D273" s="15">
        <f>D9+D23+D24+D25+D26+D27</f>
        <v>0</v>
      </c>
    </row>
    <row r="274">
      <c r="B274" s="11" t="s">
        <v>204</v>
      </c>
      <c r="D274" s="15">
        <f>-D242</f>
        <v>0</v>
      </c>
    </row>
    <row r="275">
      <c r="B275" s="13" t="s">
        <v>205</v>
      </c>
      <c r="D275" s="63">
        <f>D273+D274</f>
        <v>0</v>
      </c>
    </row>
    <row r="276">
      <c r="B276" s="11" t="s">
        <v>206</v>
      </c>
      <c r="D276" s="34">
        <f>D275*0.9</f>
        <v>0</v>
      </c>
    </row>
    <row r="277">
      <c r="B277" s="11" t="s">
        <v>207</v>
      </c>
      <c r="D277" s="34">
        <f>D275*0.1</f>
        <v>0</v>
      </c>
    </row>
    <row r="279">
      <c r="B279" s="9" t="s">
        <v>208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>
      <c r="B280" s="11" t="s">
        <v>209</v>
      </c>
      <c r="C280" s="15">
        <f>-D275</f>
        <v>0</v>
      </c>
    </row>
    <row r="281">
      <c r="B281" s="11" t="s">
        <v>210</v>
      </c>
      <c r="D281" s="15" t="str">
        <f t="shared" ref="D281:M281" si="77">D259</f>
        <v>#DIV/0!</v>
      </c>
      <c r="E281" s="15" t="str">
        <f t="shared" si="77"/>
        <v>#DIV/0!</v>
      </c>
      <c r="F281" s="15" t="str">
        <f t="shared" si="77"/>
        <v>#DIV/0!</v>
      </c>
      <c r="G281" s="15" t="str">
        <f t="shared" si="77"/>
        <v>#DIV/0!</v>
      </c>
      <c r="H281" s="15" t="str">
        <f t="shared" si="77"/>
        <v>#DIV/0!</v>
      </c>
      <c r="I281" s="15" t="str">
        <f t="shared" si="77"/>
        <v>#DIV/0!</v>
      </c>
      <c r="J281" s="15" t="str">
        <f t="shared" si="77"/>
        <v>#DIV/0!</v>
      </c>
      <c r="K281" s="15" t="str">
        <f t="shared" si="77"/>
        <v>#DIV/0!</v>
      </c>
      <c r="L281" s="15" t="str">
        <f t="shared" si="77"/>
        <v>#DIV/0!</v>
      </c>
      <c r="M281" s="15" t="str">
        <f t="shared" si="77"/>
        <v>#DIV/0!</v>
      </c>
    </row>
    <row r="282">
      <c r="B282" s="11" t="s">
        <v>211</v>
      </c>
      <c r="H282" s="15">
        <f>H270</f>
        <v>0</v>
      </c>
    </row>
    <row r="283">
      <c r="B283" s="11" t="s">
        <v>212</v>
      </c>
      <c r="M283" s="15">
        <f>M270</f>
        <v>0</v>
      </c>
    </row>
    <row r="284">
      <c r="B284" s="44" t="s">
        <v>213</v>
      </c>
      <c r="C284" s="63">
        <f>C280</f>
        <v>0</v>
      </c>
      <c r="D284" s="63" t="str">
        <f t="shared" ref="D284:G284" si="78">D281</f>
        <v>#DIV/0!</v>
      </c>
      <c r="E284" s="63" t="str">
        <f t="shared" si="78"/>
        <v>#DIV/0!</v>
      </c>
      <c r="F284" s="63" t="str">
        <f t="shared" si="78"/>
        <v>#DIV/0!</v>
      </c>
      <c r="G284" s="63" t="str">
        <f t="shared" si="78"/>
        <v>#DIV/0!</v>
      </c>
      <c r="H284" s="63" t="str">
        <f>H281+H282</f>
        <v>#DIV/0!</v>
      </c>
    </row>
    <row r="285">
      <c r="B285" s="44" t="s">
        <v>214</v>
      </c>
      <c r="C285" s="63">
        <f>C280</f>
        <v>0</v>
      </c>
      <c r="D285" s="63" t="str">
        <f t="shared" ref="D285:L285" si="79">D281</f>
        <v>#DIV/0!</v>
      </c>
      <c r="E285" s="63" t="str">
        <f t="shared" si="79"/>
        <v>#DIV/0!</v>
      </c>
      <c r="F285" s="63" t="str">
        <f t="shared" si="79"/>
        <v>#DIV/0!</v>
      </c>
      <c r="G285" s="63" t="str">
        <f t="shared" si="79"/>
        <v>#DIV/0!</v>
      </c>
      <c r="H285" s="63" t="str">
        <f t="shared" si="79"/>
        <v>#DIV/0!</v>
      </c>
      <c r="I285" s="63" t="str">
        <f t="shared" si="79"/>
        <v>#DIV/0!</v>
      </c>
      <c r="J285" s="63" t="str">
        <f t="shared" si="79"/>
        <v>#DIV/0!</v>
      </c>
      <c r="K285" s="63" t="str">
        <f t="shared" si="79"/>
        <v>#DIV/0!</v>
      </c>
      <c r="L285" s="63" t="str">
        <f t="shared" si="79"/>
        <v>#DIV/0!</v>
      </c>
      <c r="M285" s="63" t="str">
        <f>M281+M283</f>
        <v>#DIV/0!</v>
      </c>
    </row>
    <row r="287">
      <c r="B287" s="22" t="s">
        <v>43</v>
      </c>
    </row>
    <row r="289">
      <c r="B289" s="24" t="s">
        <v>215</v>
      </c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</row>
    <row r="291">
      <c r="B291" s="64" t="s">
        <v>216</v>
      </c>
      <c r="C291" s="65"/>
      <c r="D291" s="65"/>
      <c r="E291" s="65"/>
    </row>
    <row r="292">
      <c r="B292" s="11" t="s">
        <v>217</v>
      </c>
      <c r="D292" s="55">
        <v>0.08</v>
      </c>
    </row>
    <row r="293">
      <c r="B293" s="11" t="s">
        <v>218</v>
      </c>
      <c r="D293" s="55">
        <v>0.9</v>
      </c>
    </row>
    <row r="294">
      <c r="B294" s="11" t="s">
        <v>219</v>
      </c>
      <c r="D294" s="55">
        <v>0.1</v>
      </c>
    </row>
    <row r="295">
      <c r="B295" s="11" t="s">
        <v>220</v>
      </c>
      <c r="D295" s="55">
        <v>0.7</v>
      </c>
    </row>
    <row r="296">
      <c r="B296" s="11" t="s">
        <v>221</v>
      </c>
      <c r="D296" s="55">
        <v>0.3</v>
      </c>
    </row>
    <row r="298">
      <c r="B298" s="64" t="s">
        <v>222</v>
      </c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</row>
    <row r="299">
      <c r="B299" s="62" t="s">
        <v>223</v>
      </c>
      <c r="C299" s="62" t="s">
        <v>184</v>
      </c>
      <c r="D299" s="62" t="s">
        <v>96</v>
      </c>
      <c r="E299" s="62" t="s">
        <v>97</v>
      </c>
      <c r="F299" s="62" t="s">
        <v>98</v>
      </c>
      <c r="G299" s="62" t="s">
        <v>99</v>
      </c>
      <c r="H299" s="62" t="s">
        <v>100</v>
      </c>
      <c r="I299" s="62" t="s">
        <v>101</v>
      </c>
      <c r="J299" s="62" t="s">
        <v>102</v>
      </c>
      <c r="K299" s="62" t="s">
        <v>103</v>
      </c>
      <c r="L299" s="62" t="s">
        <v>104</v>
      </c>
      <c r="M299" s="62" t="s">
        <v>105</v>
      </c>
    </row>
    <row r="300">
      <c r="B300" s="11" t="s">
        <v>224</v>
      </c>
      <c r="C300" s="66">
        <v>0.0</v>
      </c>
      <c r="D300" s="15" t="str">
        <f t="shared" ref="D300:G300" si="80">D259</f>
        <v>#DIV/0!</v>
      </c>
      <c r="E300" s="15" t="str">
        <f t="shared" si="80"/>
        <v>#DIV/0!</v>
      </c>
      <c r="F300" s="15" t="str">
        <f t="shared" si="80"/>
        <v>#DIV/0!</v>
      </c>
      <c r="G300" s="15" t="str">
        <f t="shared" si="80"/>
        <v>#DIV/0!</v>
      </c>
      <c r="H300" s="15" t="str">
        <f>H259+H270</f>
        <v>#DIV/0!</v>
      </c>
      <c r="I300" s="15"/>
      <c r="J300" s="15"/>
      <c r="K300" s="15"/>
      <c r="L300" s="15"/>
      <c r="M300" s="15"/>
    </row>
    <row r="301">
      <c r="B301" s="11" t="s">
        <v>225</v>
      </c>
      <c r="C301" s="66">
        <v>0.0</v>
      </c>
      <c r="D301" s="15" t="str">
        <f t="shared" ref="D301:L301" si="81">D259</f>
        <v>#DIV/0!</v>
      </c>
      <c r="E301" s="15" t="str">
        <f t="shared" si="81"/>
        <v>#DIV/0!</v>
      </c>
      <c r="F301" s="15" t="str">
        <f t="shared" si="81"/>
        <v>#DIV/0!</v>
      </c>
      <c r="G301" s="15" t="str">
        <f t="shared" si="81"/>
        <v>#DIV/0!</v>
      </c>
      <c r="H301" s="15" t="str">
        <f t="shared" si="81"/>
        <v>#DIV/0!</v>
      </c>
      <c r="I301" s="15" t="str">
        <f t="shared" si="81"/>
        <v>#DIV/0!</v>
      </c>
      <c r="J301" s="15" t="str">
        <f t="shared" si="81"/>
        <v>#DIV/0!</v>
      </c>
      <c r="K301" s="15" t="str">
        <f t="shared" si="81"/>
        <v>#DIV/0!</v>
      </c>
      <c r="L301" s="15" t="str">
        <f t="shared" si="81"/>
        <v>#DIV/0!</v>
      </c>
      <c r="M301" s="15" t="str">
        <f>M259+M270</f>
        <v>#DIV/0!</v>
      </c>
    </row>
    <row r="302">
      <c r="B302" s="11" t="s">
        <v>226</v>
      </c>
      <c r="C302" s="15"/>
      <c r="D302" s="15">
        <f t="shared" ref="D302:M302" si="82">$D$276*$D$292</f>
        <v>0</v>
      </c>
      <c r="E302" s="15">
        <f t="shared" si="82"/>
        <v>0</v>
      </c>
      <c r="F302" s="15">
        <f t="shared" si="82"/>
        <v>0</v>
      </c>
      <c r="G302" s="15">
        <f t="shared" si="82"/>
        <v>0</v>
      </c>
      <c r="H302" s="15">
        <f t="shared" si="82"/>
        <v>0</v>
      </c>
      <c r="I302" s="15">
        <f t="shared" si="82"/>
        <v>0</v>
      </c>
      <c r="J302" s="15">
        <f t="shared" si="82"/>
        <v>0</v>
      </c>
      <c r="K302" s="15">
        <f t="shared" si="82"/>
        <v>0</v>
      </c>
      <c r="L302" s="15">
        <f t="shared" si="82"/>
        <v>0</v>
      </c>
      <c r="M302" s="15">
        <f t="shared" si="82"/>
        <v>0</v>
      </c>
    </row>
    <row r="303">
      <c r="B303" s="11" t="s">
        <v>227</v>
      </c>
      <c r="C303" s="15"/>
      <c r="D303" s="15" t="str">
        <f t="shared" ref="D303:M303" si="83">MIN(D300*$D$293,D302)+MAX(0,(D300-D302/$D$293)*$D$295)</f>
        <v>#DIV/0!</v>
      </c>
      <c r="E303" s="15" t="str">
        <f t="shared" si="83"/>
        <v>#DIV/0!</v>
      </c>
      <c r="F303" s="15" t="str">
        <f t="shared" si="83"/>
        <v>#DIV/0!</v>
      </c>
      <c r="G303" s="15" t="str">
        <f t="shared" si="83"/>
        <v>#DIV/0!</v>
      </c>
      <c r="H303" s="15" t="str">
        <f t="shared" si="83"/>
        <v>#DIV/0!</v>
      </c>
      <c r="I303" s="15">
        <f t="shared" si="83"/>
        <v>0</v>
      </c>
      <c r="J303" s="15">
        <f t="shared" si="83"/>
        <v>0</v>
      </c>
      <c r="K303" s="15">
        <f t="shared" si="83"/>
        <v>0</v>
      </c>
      <c r="L303" s="15">
        <f t="shared" si="83"/>
        <v>0</v>
      </c>
      <c r="M303" s="15">
        <f t="shared" si="83"/>
        <v>0</v>
      </c>
    </row>
    <row r="304">
      <c r="B304" s="11" t="s">
        <v>228</v>
      </c>
      <c r="C304" s="15"/>
      <c r="D304" s="15" t="str">
        <f t="shared" ref="D304:M304" si="84">D300-D303</f>
        <v>#DIV/0!</v>
      </c>
      <c r="E304" s="15" t="str">
        <f t="shared" si="84"/>
        <v>#DIV/0!</v>
      </c>
      <c r="F304" s="15" t="str">
        <f t="shared" si="84"/>
        <v>#DIV/0!</v>
      </c>
      <c r="G304" s="15" t="str">
        <f t="shared" si="84"/>
        <v>#DIV/0!</v>
      </c>
      <c r="H304" s="15" t="str">
        <f t="shared" si="84"/>
        <v>#DIV/0!</v>
      </c>
      <c r="I304" s="15">
        <f t="shared" si="84"/>
        <v>0</v>
      </c>
      <c r="J304" s="15">
        <f t="shared" si="84"/>
        <v>0</v>
      </c>
      <c r="K304" s="15">
        <f t="shared" si="84"/>
        <v>0</v>
      </c>
      <c r="L304" s="15">
        <f t="shared" si="84"/>
        <v>0</v>
      </c>
      <c r="M304" s="15">
        <f t="shared" si="84"/>
        <v>0</v>
      </c>
    </row>
    <row r="306">
      <c r="B306" s="57" t="s">
        <v>229</v>
      </c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</row>
    <row r="307">
      <c r="N307" s="31"/>
      <c r="O307" s="13" t="s">
        <v>13</v>
      </c>
      <c r="P307" s="13" t="s">
        <v>14</v>
      </c>
    </row>
    <row r="308">
      <c r="N308" s="11" t="s">
        <v>18</v>
      </c>
      <c r="O308" s="17" t="str">
        <f>IRR(C284:H284)</f>
        <v>#DIV/0!</v>
      </c>
      <c r="P308" s="17" t="str">
        <f>IRR(C285:M285)</f>
        <v>#DIV/0!</v>
      </c>
    </row>
    <row r="309">
      <c r="N309" s="11" t="s">
        <v>22</v>
      </c>
      <c r="O309" s="17" t="str">
        <f>IRR(C316:H316)</f>
        <v>#DIV/0!</v>
      </c>
      <c r="P309" s="17" t="str">
        <f>IRR(C317:M317)</f>
        <v>#DIV/0!</v>
      </c>
    </row>
    <row r="310">
      <c r="N310" s="11" t="s">
        <v>25</v>
      </c>
      <c r="O310" s="17" t="str">
        <f>IRR(C318:H318)</f>
        <v>#DIV/0!</v>
      </c>
      <c r="P310" s="17" t="str">
        <f>IRR(C319:M319)</f>
        <v>#DIV/0!</v>
      </c>
    </row>
    <row r="311">
      <c r="N311" s="11" t="s">
        <v>29</v>
      </c>
      <c r="O311" s="19">
        <f>IF(D275=0,0,(SUM(D284:H284)+ABS(C284))/ABS(C284))</f>
        <v>0</v>
      </c>
      <c r="P311" s="19">
        <f>IF(D275=0,0,(SUM(D285:M285)+ABS(C285))/ABS(C285))</f>
        <v>0</v>
      </c>
    </row>
    <row r="312">
      <c r="N312" s="11" t="s">
        <v>230</v>
      </c>
      <c r="O312" s="19">
        <f t="shared" ref="O312:O313" si="85">IF(D276=0,0,SUM(D303:H303)/D276)</f>
        <v>0</v>
      </c>
      <c r="P312" s="19">
        <f t="shared" ref="P312:P313" si="86">IF(D276=0,0,SUM(D303:M303)/D276)</f>
        <v>0</v>
      </c>
    </row>
    <row r="313">
      <c r="N313" s="11" t="s">
        <v>231</v>
      </c>
      <c r="O313" s="19">
        <f t="shared" si="85"/>
        <v>0</v>
      </c>
      <c r="P313" s="19">
        <f t="shared" si="86"/>
        <v>0</v>
      </c>
    </row>
    <row r="314">
      <c r="N314" s="11" t="s">
        <v>232</v>
      </c>
      <c r="O314" s="17">
        <f>IF(D275=0,0,AVERAGE(D262:H262))</f>
        <v>0</v>
      </c>
      <c r="P314" s="17">
        <f>IF(D275=0,0,AVERAGE(D262:M262))</f>
        <v>0</v>
      </c>
    </row>
    <row r="316">
      <c r="B316" s="11" t="s">
        <v>233</v>
      </c>
      <c r="C316" s="15">
        <f>-D276</f>
        <v>0</v>
      </c>
      <c r="D316" s="15" t="str">
        <f t="shared" ref="D316:H316" si="87">D303</f>
        <v>#DIV/0!</v>
      </c>
      <c r="E316" s="15" t="str">
        <f t="shared" si="87"/>
        <v>#DIV/0!</v>
      </c>
      <c r="F316" s="15" t="str">
        <f t="shared" si="87"/>
        <v>#DIV/0!</v>
      </c>
      <c r="G316" s="15" t="str">
        <f t="shared" si="87"/>
        <v>#DIV/0!</v>
      </c>
      <c r="H316" s="15" t="str">
        <f t="shared" si="87"/>
        <v>#DIV/0!</v>
      </c>
    </row>
    <row r="317">
      <c r="B317" s="11" t="s">
        <v>234</v>
      </c>
      <c r="C317" s="15">
        <f t="shared" ref="C317:C318" si="89">-D276</f>
        <v>0</v>
      </c>
      <c r="D317" s="15" t="str">
        <f t="shared" ref="D317:M317" si="88">D303</f>
        <v>#DIV/0!</v>
      </c>
      <c r="E317" s="15" t="str">
        <f t="shared" si="88"/>
        <v>#DIV/0!</v>
      </c>
      <c r="F317" s="15" t="str">
        <f t="shared" si="88"/>
        <v>#DIV/0!</v>
      </c>
      <c r="G317" s="15" t="str">
        <f t="shared" si="88"/>
        <v>#DIV/0!</v>
      </c>
      <c r="H317" s="15" t="str">
        <f t="shared" si="88"/>
        <v>#DIV/0!</v>
      </c>
      <c r="I317" s="15">
        <f t="shared" si="88"/>
        <v>0</v>
      </c>
      <c r="J317" s="15">
        <f t="shared" si="88"/>
        <v>0</v>
      </c>
      <c r="K317" s="15">
        <f t="shared" si="88"/>
        <v>0</v>
      </c>
      <c r="L317" s="15">
        <f t="shared" si="88"/>
        <v>0</v>
      </c>
      <c r="M317" s="15">
        <f t="shared" si="88"/>
        <v>0</v>
      </c>
    </row>
    <row r="318">
      <c r="B318" s="11" t="s">
        <v>235</v>
      </c>
      <c r="C318" s="15">
        <f t="shared" si="89"/>
        <v>0</v>
      </c>
      <c r="D318" s="15" t="str">
        <f t="shared" ref="D318:H318" si="90">D304</f>
        <v>#DIV/0!</v>
      </c>
      <c r="E318" s="15" t="str">
        <f t="shared" si="90"/>
        <v>#DIV/0!</v>
      </c>
      <c r="F318" s="15" t="str">
        <f t="shared" si="90"/>
        <v>#DIV/0!</v>
      </c>
      <c r="G318" s="15" t="str">
        <f t="shared" si="90"/>
        <v>#DIV/0!</v>
      </c>
      <c r="H318" s="15" t="str">
        <f t="shared" si="90"/>
        <v>#DIV/0!</v>
      </c>
    </row>
    <row r="319">
      <c r="B319" s="11" t="s">
        <v>236</v>
      </c>
      <c r="C319" s="15">
        <f>-D277</f>
        <v>0</v>
      </c>
      <c r="D319" s="15" t="str">
        <f t="shared" ref="D319:M319" si="91">D304</f>
        <v>#DIV/0!</v>
      </c>
      <c r="E319" s="15" t="str">
        <f t="shared" si="91"/>
        <v>#DIV/0!</v>
      </c>
      <c r="F319" s="15" t="str">
        <f t="shared" si="91"/>
        <v>#DIV/0!</v>
      </c>
      <c r="G319" s="15" t="str">
        <f t="shared" si="91"/>
        <v>#DIV/0!</v>
      </c>
      <c r="H319" s="15" t="str">
        <f t="shared" si="91"/>
        <v>#DIV/0!</v>
      </c>
      <c r="I319" s="15">
        <f t="shared" si="91"/>
        <v>0</v>
      </c>
      <c r="J319" s="15">
        <f t="shared" si="91"/>
        <v>0</v>
      </c>
      <c r="K319" s="15">
        <f t="shared" si="91"/>
        <v>0</v>
      </c>
      <c r="L319" s="15">
        <f t="shared" si="91"/>
        <v>0</v>
      </c>
      <c r="M319" s="15">
        <f t="shared" si="91"/>
        <v>0</v>
      </c>
    </row>
    <row r="322">
      <c r="B322" s="67" t="s">
        <v>237</v>
      </c>
      <c r="C322" s="68"/>
      <c r="D322" s="68"/>
      <c r="E322" s="68"/>
      <c r="F322" s="68"/>
      <c r="G322" s="68"/>
      <c r="H322" s="68"/>
    </row>
    <row r="323">
      <c r="B323" s="69" t="s">
        <v>238</v>
      </c>
      <c r="C323" s="70"/>
      <c r="D323" s="70"/>
      <c r="E323" s="70"/>
      <c r="F323" s="70"/>
      <c r="G323" s="70"/>
      <c r="H323" s="70"/>
    </row>
    <row r="324">
      <c r="C324" s="13" t="s">
        <v>239</v>
      </c>
      <c r="D324" s="71">
        <v>0.05</v>
      </c>
      <c r="E324" s="71">
        <v>0.055</v>
      </c>
      <c r="F324" s="71">
        <v>0.06</v>
      </c>
      <c r="G324" s="71">
        <v>0.065</v>
      </c>
      <c r="H324" s="71">
        <v>0.07</v>
      </c>
    </row>
    <row r="325">
      <c r="B325" s="13" t="s">
        <v>240</v>
      </c>
    </row>
    <row r="326">
      <c r="B326" s="72">
        <v>0.01</v>
      </c>
      <c r="D326" s="73" t="str">
        <f>O308+(0.01-$H$20)*2+(0.06-0.05)*3</f>
        <v>#DIV/0!</v>
      </c>
      <c r="E326" s="73" t="str">
        <f>O308+(0.01-$H$20)*2+(0.06-0.055)*3</f>
        <v>#DIV/0!</v>
      </c>
      <c r="F326" s="73" t="str">
        <f>O308+(0.01-$H$20)*2+(0.06-0.06)*3</f>
        <v>#DIV/0!</v>
      </c>
      <c r="G326" s="73" t="str">
        <f>O308+(0.01-$H$20)*2+(0.06-0.065)*3</f>
        <v>#DIV/0!</v>
      </c>
      <c r="H326" s="73" t="str">
        <f>O308+(0.01-$H$20)*2+(0.06-0.07)*3</f>
        <v>#DIV/0!</v>
      </c>
    </row>
    <row r="327">
      <c r="B327" s="72">
        <v>0.02</v>
      </c>
      <c r="D327" s="73" t="str">
        <f>O308+(0.02-$H$20)*2+(0.06-0.05)*3</f>
        <v>#DIV/0!</v>
      </c>
      <c r="E327" s="73" t="str">
        <f>O308+(0.02-$H$20)*2+(0.06-0.055)*3</f>
        <v>#DIV/0!</v>
      </c>
      <c r="F327" s="73" t="str">
        <f>O308+(0.02-$H$20)*2+(0.06-0.06)*3</f>
        <v>#DIV/0!</v>
      </c>
      <c r="G327" s="73" t="str">
        <f>O308+(0.02-$H$20)*2+(0.06-0.065)*3</f>
        <v>#DIV/0!</v>
      </c>
      <c r="H327" s="73" t="str">
        <f>O308+(0.02-$H$20)*2+(0.06-0.07)*3</f>
        <v>#DIV/0!</v>
      </c>
    </row>
    <row r="328">
      <c r="B328" s="72">
        <v>0.03</v>
      </c>
      <c r="D328" s="73" t="str">
        <f>O308+(0.03-$H$20)*2+(0.06-0.05)*3</f>
        <v>#DIV/0!</v>
      </c>
      <c r="E328" s="73" t="str">
        <f>O308+(0.03-$H$20)*2+(0.06-0.055)*3</f>
        <v>#DIV/0!</v>
      </c>
      <c r="F328" s="74" t="str">
        <f>O308+(0.03-$H$20)*2+(0.06-0.06)*3</f>
        <v>#DIV/0!</v>
      </c>
      <c r="G328" s="73" t="str">
        <f>O308+(0.03-$H$20)*2+(0.06-0.065)*3</f>
        <v>#DIV/0!</v>
      </c>
      <c r="H328" s="73" t="str">
        <f>O308+(0.03-$H$20)*2+(0.06-0.07)*3</f>
        <v>#DIV/0!</v>
      </c>
    </row>
    <row r="329">
      <c r="B329" s="72">
        <v>0.04</v>
      </c>
      <c r="D329" s="73" t="str">
        <f>O308+(0.04-$H$20)*2+(0.06-0.05)*3</f>
        <v>#DIV/0!</v>
      </c>
      <c r="E329" s="73" t="str">
        <f>O308+(0.04-$H$20)*2+(0.06-0.055)*3</f>
        <v>#DIV/0!</v>
      </c>
      <c r="F329" s="73" t="str">
        <f>O308+(0.04-$H$20)*2+(0.06-0.06)*3</f>
        <v>#DIV/0!</v>
      </c>
      <c r="G329" s="73" t="str">
        <f>O308+(0.04-$H$20)*2+(0.06-0.065)*3</f>
        <v>#DIV/0!</v>
      </c>
      <c r="H329" s="73" t="str">
        <f>O308+(0.04-$H$20)*2+(0.06-0.07)*3</f>
        <v>#DIV/0!</v>
      </c>
    </row>
    <row r="330">
      <c r="B330" s="72">
        <v>0.05</v>
      </c>
      <c r="D330" s="73" t="str">
        <f>O308+(0.05-$H$20)*2+(0.06-0.05)*3</f>
        <v>#DIV/0!</v>
      </c>
      <c r="E330" s="73" t="str">
        <f>O308+(0.05-$H$20)*2+(0.06-0.055)*3</f>
        <v>#DIV/0!</v>
      </c>
      <c r="F330" s="73" t="str">
        <f>O308+(0.05-$H$20)*2+(0.06-0.06)*3</f>
        <v>#DIV/0!</v>
      </c>
      <c r="G330" s="73" t="str">
        <f>O308+(0.05-$H$20)*2+(0.06-0.065)*3</f>
        <v>#DIV/0!</v>
      </c>
      <c r="H330" s="73" t="str">
        <f>O308+(0.05-$H$20)*2+(0.06-0.07)*3</f>
        <v>#DIV/0!</v>
      </c>
    </row>
    <row r="333">
      <c r="B333" s="64" t="s">
        <v>241</v>
      </c>
      <c r="C333" s="65"/>
      <c r="D333" s="65"/>
      <c r="E333" s="65"/>
      <c r="F333" s="65"/>
      <c r="G333" s="65"/>
    </row>
    <row r="334">
      <c r="B334" s="75" t="s">
        <v>242</v>
      </c>
      <c r="C334" s="76"/>
      <c r="D334" s="76"/>
      <c r="E334" s="76"/>
      <c r="F334" s="76"/>
      <c r="G334" s="76"/>
    </row>
    <row r="335">
      <c r="B335" s="23"/>
      <c r="C335" s="23"/>
      <c r="D335" s="23"/>
      <c r="E335" s="23"/>
    </row>
    <row r="336">
      <c r="B336" s="77" t="s">
        <v>243</v>
      </c>
      <c r="C336" s="78"/>
      <c r="D336" s="78"/>
    </row>
    <row r="337">
      <c r="B337" s="11" t="s">
        <v>244</v>
      </c>
      <c r="D337" s="18">
        <v>100.0</v>
      </c>
    </row>
    <row r="338">
      <c r="B338" s="11" t="s">
        <v>245</v>
      </c>
      <c r="D338" s="18">
        <v>500.0</v>
      </c>
    </row>
    <row r="339">
      <c r="B339" s="11" t="s">
        <v>246</v>
      </c>
      <c r="C339" s="15"/>
      <c r="D339" s="18">
        <v>150000.0</v>
      </c>
    </row>
    <row r="340">
      <c r="B340" s="23"/>
      <c r="C340" s="15"/>
    </row>
    <row r="341">
      <c r="B341" s="11" t="s">
        <v>247</v>
      </c>
      <c r="C341" s="15"/>
      <c r="D341" s="17" t="str">
        <f t="shared" ref="D341:D342" si="92">H26</f>
        <v/>
      </c>
    </row>
    <row r="342">
      <c r="B342" s="11" t="s">
        <v>248</v>
      </c>
      <c r="D342" s="17" t="str">
        <f t="shared" si="92"/>
        <v/>
      </c>
    </row>
    <row r="343">
      <c r="B343" s="23"/>
    </row>
    <row r="344">
      <c r="B344" s="77" t="s">
        <v>249</v>
      </c>
      <c r="C344" s="79"/>
      <c r="D344" s="79"/>
      <c r="E344" s="79"/>
      <c r="F344" s="78"/>
      <c r="G344" s="78"/>
    </row>
    <row r="345">
      <c r="B345" s="80"/>
      <c r="C345" s="81" t="s">
        <v>250</v>
      </c>
      <c r="D345" s="81" t="s">
        <v>251</v>
      </c>
      <c r="E345" s="81" t="s">
        <v>252</v>
      </c>
    </row>
    <row r="346">
      <c r="B346" s="11" t="s">
        <v>253</v>
      </c>
      <c r="C346" s="15">
        <f>D141</f>
        <v>0</v>
      </c>
      <c r="D346" s="15">
        <f>C346+(D337*D7*12)</f>
        <v>0</v>
      </c>
      <c r="E346" s="15">
        <f t="shared" ref="E346:E348" si="93">D346-C346</f>
        <v>0</v>
      </c>
    </row>
    <row r="347">
      <c r="B347" s="11" t="s">
        <v>254</v>
      </c>
      <c r="C347" s="15" t="str">
        <f>D193</f>
        <v>#DIV/0!</v>
      </c>
      <c r="D347" s="15" t="str">
        <f>C347-(D338*D7)</f>
        <v>#DIV/0!</v>
      </c>
      <c r="E347" s="15" t="str">
        <f t="shared" si="93"/>
        <v>#DIV/0!</v>
      </c>
    </row>
    <row r="348">
      <c r="B348" s="44" t="s">
        <v>185</v>
      </c>
      <c r="C348" s="63" t="str">
        <f>E195</f>
        <v>#DIV/0!</v>
      </c>
      <c r="D348" s="63" t="str">
        <f>C348+(D337*D7*12)+(D338*D7)</f>
        <v>#DIV/0!</v>
      </c>
      <c r="E348" s="63" t="str">
        <f t="shared" si="93"/>
        <v>#DIV/0!</v>
      </c>
    </row>
    <row r="349">
      <c r="B349" s="23"/>
      <c r="C349" s="15"/>
      <c r="D349" s="15"/>
      <c r="E349" s="15"/>
    </row>
    <row r="350">
      <c r="B350" s="77" t="s">
        <v>255</v>
      </c>
      <c r="C350" s="79"/>
      <c r="D350" s="79"/>
      <c r="E350" s="79"/>
      <c r="F350" s="78"/>
      <c r="G350" s="78"/>
    </row>
    <row r="351">
      <c r="B351" s="80"/>
      <c r="C351" s="81" t="s">
        <v>250</v>
      </c>
      <c r="D351" s="81" t="s">
        <v>251</v>
      </c>
      <c r="E351" s="81" t="s">
        <v>256</v>
      </c>
    </row>
    <row r="352">
      <c r="B352" s="11" t="s">
        <v>257</v>
      </c>
      <c r="C352" s="15">
        <f>IF(D341=0,0,C348/D341)</f>
        <v>0</v>
      </c>
      <c r="D352" s="15">
        <f>IF(D341=0,0,D348/D341)</f>
        <v>0</v>
      </c>
      <c r="E352" s="15">
        <f t="shared" ref="E352:E353" si="94">D352-C352</f>
        <v>0</v>
      </c>
    </row>
    <row r="353">
      <c r="B353" s="11" t="s">
        <v>258</v>
      </c>
      <c r="C353" s="15">
        <f>IF(D342=0,0,C348/D342)</f>
        <v>0</v>
      </c>
      <c r="D353" s="15">
        <f>IF(D342=0,0,D348/D342)</f>
        <v>0</v>
      </c>
      <c r="E353" s="15">
        <f t="shared" si="94"/>
        <v>0</v>
      </c>
    </row>
    <row r="354">
      <c r="B354" s="23"/>
      <c r="C354" s="23"/>
      <c r="D354" s="16"/>
      <c r="E354" s="23"/>
    </row>
    <row r="355">
      <c r="B355" s="77" t="s">
        <v>259</v>
      </c>
      <c r="C355" s="82"/>
      <c r="D355" s="83"/>
      <c r="E355" s="78"/>
      <c r="F355" s="78"/>
      <c r="G355" s="78"/>
    </row>
    <row r="356">
      <c r="B356" s="11" t="s">
        <v>260</v>
      </c>
      <c r="C356" s="15"/>
      <c r="D356" s="15">
        <f>D339</f>
        <v>150000</v>
      </c>
      <c r="E356" s="15"/>
    </row>
    <row r="357">
      <c r="B357" s="11" t="s">
        <v>261</v>
      </c>
      <c r="D357" s="15" t="str">
        <f>E348</f>
        <v>#DIV/0!</v>
      </c>
    </row>
    <row r="358">
      <c r="B358" s="11" t="s">
        <v>262</v>
      </c>
      <c r="D358" s="15">
        <f t="shared" ref="D358:D359" si="95">E352</f>
        <v>0</v>
      </c>
    </row>
    <row r="359">
      <c r="B359" s="11" t="s">
        <v>263</v>
      </c>
      <c r="D359" s="15">
        <f t="shared" si="95"/>
        <v>0</v>
      </c>
    </row>
    <row r="360">
      <c r="B360" s="44" t="s">
        <v>264</v>
      </c>
      <c r="D360" s="84">
        <f>IF(D339=0,0,E352/D339)</f>
        <v>0</v>
      </c>
    </row>
    <row r="361">
      <c r="B361" s="44" t="s">
        <v>265</v>
      </c>
      <c r="D361" s="84">
        <f>IF(D339=0,0,E353/D339)</f>
        <v>0</v>
      </c>
    </row>
    <row r="362">
      <c r="B362" s="11" t="s">
        <v>266</v>
      </c>
      <c r="D362" s="16" t="str">
        <f>IF(D339=0,0,E348/D339)</f>
        <v>#DIV/0!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27.63"/>
    <col customWidth="1" min="3" max="3" width="18.88"/>
    <col customWidth="1" min="4" max="4" width="10.13"/>
    <col customWidth="1" min="5" max="5" width="15.13"/>
    <col customWidth="1" min="6" max="6" width="12.63"/>
    <col customWidth="1" min="7" max="7" width="25.13"/>
  </cols>
  <sheetData>
    <row r="2">
      <c r="B2" s="2" t="s">
        <v>267</v>
      </c>
      <c r="C2" s="3"/>
      <c r="D2" s="3"/>
      <c r="E2" s="3"/>
      <c r="F2" s="3"/>
      <c r="G2" s="3"/>
    </row>
    <row r="3">
      <c r="B3" s="4" t="s">
        <v>268</v>
      </c>
    </row>
    <row r="5">
      <c r="B5" s="5" t="s">
        <v>269</v>
      </c>
      <c r="C5" s="6"/>
      <c r="D5" s="6"/>
      <c r="E5" s="6"/>
      <c r="F5" s="6"/>
      <c r="G5" s="6"/>
    </row>
    <row r="6">
      <c r="B6" s="85" t="s">
        <v>270</v>
      </c>
    </row>
    <row r="7">
      <c r="B7" s="85" t="s">
        <v>271</v>
      </c>
    </row>
    <row r="8">
      <c r="B8" s="85" t="s">
        <v>272</v>
      </c>
    </row>
    <row r="10">
      <c r="B10" s="86" t="s">
        <v>273</v>
      </c>
      <c r="C10" s="86" t="s">
        <v>274</v>
      </c>
      <c r="D10" s="86" t="s">
        <v>275</v>
      </c>
      <c r="E10" s="86" t="s">
        <v>276</v>
      </c>
      <c r="F10" s="86" t="s">
        <v>277</v>
      </c>
      <c r="G10" s="86" t="s">
        <v>278</v>
      </c>
    </row>
    <row r="12">
      <c r="B12" s="57" t="s">
        <v>279</v>
      </c>
      <c r="C12" s="58"/>
      <c r="D12" s="58"/>
      <c r="E12" s="58"/>
      <c r="F12" s="58"/>
      <c r="G12" s="58"/>
    </row>
    <row r="13">
      <c r="B13" s="11" t="s">
        <v>7</v>
      </c>
      <c r="C13" s="87"/>
      <c r="D13" s="1" t="s">
        <v>280</v>
      </c>
      <c r="E13" s="88" t="s">
        <v>281</v>
      </c>
      <c r="F13" s="1" t="s">
        <v>282</v>
      </c>
    </row>
    <row r="14">
      <c r="B14" s="11" t="s">
        <v>283</v>
      </c>
      <c r="C14" s="87"/>
      <c r="D14" s="1" t="s">
        <v>280</v>
      </c>
      <c r="E14" s="88" t="s">
        <v>284</v>
      </c>
      <c r="F14" s="1" t="s">
        <v>282</v>
      </c>
      <c r="G14" s="1" t="s">
        <v>285</v>
      </c>
    </row>
    <row r="15">
      <c r="B15" s="11" t="s">
        <v>15</v>
      </c>
      <c r="C15" s="87"/>
      <c r="D15" s="1" t="s">
        <v>286</v>
      </c>
      <c r="E15" s="88" t="s">
        <v>287</v>
      </c>
      <c r="F15" s="1" t="s">
        <v>282</v>
      </c>
      <c r="G15" s="1" t="s">
        <v>288</v>
      </c>
    </row>
    <row r="16">
      <c r="B16" s="11" t="s">
        <v>289</v>
      </c>
      <c r="C16" s="87"/>
      <c r="D16" s="1" t="s">
        <v>286</v>
      </c>
      <c r="E16" s="88" t="s">
        <v>290</v>
      </c>
      <c r="F16" s="1" t="s">
        <v>282</v>
      </c>
      <c r="G16" s="1" t="s">
        <v>291</v>
      </c>
    </row>
    <row r="17">
      <c r="B17" s="11" t="s">
        <v>54</v>
      </c>
      <c r="C17" s="89"/>
      <c r="D17" s="1" t="s">
        <v>286</v>
      </c>
      <c r="E17" s="88" t="s">
        <v>292</v>
      </c>
      <c r="F17" s="1" t="s">
        <v>293</v>
      </c>
    </row>
    <row r="18">
      <c r="B18" s="11" t="s">
        <v>294</v>
      </c>
      <c r="C18" s="89"/>
      <c r="D18" s="1" t="s">
        <v>286</v>
      </c>
      <c r="E18" s="88" t="s">
        <v>295</v>
      </c>
      <c r="F18" s="1" t="s">
        <v>296</v>
      </c>
      <c r="G18" s="1" t="s">
        <v>297</v>
      </c>
    </row>
    <row r="19">
      <c r="B19" s="11" t="s">
        <v>298</v>
      </c>
      <c r="C19" s="89"/>
      <c r="D19" s="1" t="s">
        <v>280</v>
      </c>
      <c r="E19" s="88" t="s">
        <v>295</v>
      </c>
      <c r="F19" s="1" t="s">
        <v>296</v>
      </c>
      <c r="G19" s="1" t="s">
        <v>297</v>
      </c>
    </row>
    <row r="20">
      <c r="B20" s="11" t="s">
        <v>299</v>
      </c>
      <c r="C20" s="89"/>
      <c r="D20" s="1" t="s">
        <v>286</v>
      </c>
      <c r="E20" s="88" t="s">
        <v>295</v>
      </c>
      <c r="F20" s="1" t="s">
        <v>296</v>
      </c>
    </row>
    <row r="22">
      <c r="B22" s="57" t="s">
        <v>300</v>
      </c>
      <c r="C22" s="58"/>
      <c r="D22" s="58"/>
      <c r="E22" s="58"/>
      <c r="F22" s="58"/>
      <c r="G22" s="58"/>
    </row>
    <row r="23">
      <c r="B23" s="11" t="s">
        <v>301</v>
      </c>
      <c r="C23" s="87"/>
      <c r="D23" s="1" t="s">
        <v>302</v>
      </c>
      <c r="E23" s="88" t="s">
        <v>303</v>
      </c>
      <c r="F23" s="1" t="s">
        <v>282</v>
      </c>
      <c r="G23" s="1" t="s">
        <v>304</v>
      </c>
    </row>
    <row r="24">
      <c r="B24" s="11" t="s">
        <v>26</v>
      </c>
      <c r="C24" s="89"/>
      <c r="D24" s="1" t="s">
        <v>302</v>
      </c>
      <c r="E24" s="88" t="s">
        <v>295</v>
      </c>
      <c r="F24" s="1" t="s">
        <v>305</v>
      </c>
      <c r="G24" s="1" t="s">
        <v>306</v>
      </c>
    </row>
    <row r="25">
      <c r="B25" s="11" t="s">
        <v>30</v>
      </c>
      <c r="C25" s="89"/>
      <c r="D25" s="1" t="s">
        <v>302</v>
      </c>
      <c r="E25" s="88" t="s">
        <v>295</v>
      </c>
      <c r="F25" s="1" t="s">
        <v>305</v>
      </c>
      <c r="G25" s="1" t="s">
        <v>307</v>
      </c>
    </row>
    <row r="26">
      <c r="B26" s="11" t="s">
        <v>308</v>
      </c>
      <c r="C26" s="89"/>
      <c r="D26" s="1" t="s">
        <v>309</v>
      </c>
      <c r="E26" s="88" t="s">
        <v>295</v>
      </c>
      <c r="F26" s="1" t="s">
        <v>296</v>
      </c>
      <c r="G26" s="1" t="s">
        <v>310</v>
      </c>
    </row>
    <row r="27">
      <c r="B27" s="11" t="s">
        <v>311</v>
      </c>
      <c r="C27" s="89"/>
      <c r="D27" s="1" t="s">
        <v>309</v>
      </c>
      <c r="E27" s="88" t="s">
        <v>295</v>
      </c>
      <c r="F27" s="1" t="s">
        <v>296</v>
      </c>
      <c r="G27" s="1" t="s">
        <v>312</v>
      </c>
    </row>
    <row r="28">
      <c r="B28" s="11" t="s">
        <v>21</v>
      </c>
      <c r="C28" s="89"/>
      <c r="D28" s="1" t="s">
        <v>302</v>
      </c>
      <c r="E28" s="88" t="s">
        <v>313</v>
      </c>
      <c r="F28" s="1" t="s">
        <v>293</v>
      </c>
      <c r="G28" s="1" t="s">
        <v>314</v>
      </c>
    </row>
    <row r="29">
      <c r="B29" s="11" t="s">
        <v>315</v>
      </c>
      <c r="C29" s="89"/>
      <c r="D29" s="1" t="s">
        <v>302</v>
      </c>
      <c r="E29" s="88" t="s">
        <v>316</v>
      </c>
      <c r="F29" s="1" t="s">
        <v>293</v>
      </c>
    </row>
    <row r="30">
      <c r="B30" s="11" t="s">
        <v>28</v>
      </c>
      <c r="C30" s="89"/>
      <c r="D30" s="1" t="s">
        <v>302</v>
      </c>
      <c r="E30" s="88" t="s">
        <v>317</v>
      </c>
      <c r="F30" s="1" t="s">
        <v>293</v>
      </c>
      <c r="G30" s="1" t="s">
        <v>318</v>
      </c>
    </row>
    <row r="32">
      <c r="B32" s="57" t="s">
        <v>319</v>
      </c>
      <c r="C32" s="58"/>
      <c r="D32" s="58"/>
      <c r="E32" s="58"/>
      <c r="F32" s="58"/>
      <c r="G32" s="58"/>
    </row>
    <row r="33">
      <c r="B33" s="11" t="s">
        <v>320</v>
      </c>
      <c r="C33" s="87"/>
      <c r="D33" s="1" t="s">
        <v>302</v>
      </c>
      <c r="E33" s="88" t="s">
        <v>321</v>
      </c>
      <c r="F33" s="1" t="s">
        <v>322</v>
      </c>
      <c r="G33" s="1" t="s">
        <v>323</v>
      </c>
    </row>
    <row r="34">
      <c r="B34" s="11" t="s">
        <v>324</v>
      </c>
      <c r="C34" s="87"/>
      <c r="D34" s="1" t="s">
        <v>309</v>
      </c>
      <c r="E34" s="88" t="s">
        <v>325</v>
      </c>
      <c r="F34" s="1" t="s">
        <v>293</v>
      </c>
      <c r="G34" s="1" t="s">
        <v>326</v>
      </c>
    </row>
    <row r="35">
      <c r="B35" s="11" t="s">
        <v>327</v>
      </c>
      <c r="C35" s="89"/>
      <c r="D35" s="1" t="s">
        <v>302</v>
      </c>
      <c r="E35" s="88" t="s">
        <v>328</v>
      </c>
      <c r="F35" s="1" t="s">
        <v>322</v>
      </c>
      <c r="G35" s="1" t="s">
        <v>329</v>
      </c>
    </row>
    <row r="36">
      <c r="B36" s="11" t="s">
        <v>330</v>
      </c>
      <c r="C36" s="89"/>
      <c r="D36" s="1" t="s">
        <v>302</v>
      </c>
      <c r="E36" s="88" t="s">
        <v>295</v>
      </c>
      <c r="F36" s="1" t="s">
        <v>296</v>
      </c>
      <c r="G36" s="1" t="s">
        <v>331</v>
      </c>
    </row>
    <row r="37">
      <c r="B37" s="11" t="s">
        <v>332</v>
      </c>
      <c r="C37" s="89"/>
      <c r="D37" s="1" t="s">
        <v>309</v>
      </c>
      <c r="E37" s="88" t="s">
        <v>333</v>
      </c>
      <c r="F37" s="1" t="s">
        <v>293</v>
      </c>
    </row>
    <row r="38">
      <c r="B38" s="11" t="s">
        <v>113</v>
      </c>
      <c r="C38" s="89"/>
      <c r="D38" s="1" t="s">
        <v>302</v>
      </c>
      <c r="E38" s="88" t="s">
        <v>334</v>
      </c>
      <c r="F38" s="1" t="s">
        <v>322</v>
      </c>
      <c r="G38" s="1" t="s">
        <v>335</v>
      </c>
    </row>
    <row r="39">
      <c r="B39" s="11" t="s">
        <v>114</v>
      </c>
      <c r="C39" s="89"/>
      <c r="D39" s="1" t="s">
        <v>302</v>
      </c>
      <c r="E39" s="88" t="s">
        <v>336</v>
      </c>
      <c r="F39" s="1" t="s">
        <v>322</v>
      </c>
      <c r="G39" s="1" t="s">
        <v>335</v>
      </c>
    </row>
    <row r="40">
      <c r="B40" s="11" t="s">
        <v>337</v>
      </c>
      <c r="C40" s="89"/>
      <c r="D40" s="1" t="s">
        <v>302</v>
      </c>
      <c r="E40" s="88" t="s">
        <v>338</v>
      </c>
      <c r="F40" s="1" t="s">
        <v>322</v>
      </c>
      <c r="G40" s="1" t="s">
        <v>335</v>
      </c>
    </row>
    <row r="41">
      <c r="B41" s="11" t="s">
        <v>112</v>
      </c>
      <c r="C41" s="89"/>
      <c r="D41" s="1" t="s">
        <v>302</v>
      </c>
      <c r="E41" s="88" t="s">
        <v>339</v>
      </c>
      <c r="F41" s="1" t="s">
        <v>322</v>
      </c>
      <c r="G41" s="1" t="s">
        <v>340</v>
      </c>
    </row>
    <row r="42">
      <c r="B42" s="11" t="s">
        <v>341</v>
      </c>
      <c r="C42" s="89"/>
      <c r="D42" s="1" t="s">
        <v>302</v>
      </c>
      <c r="E42" s="88" t="s">
        <v>342</v>
      </c>
      <c r="F42" s="1" t="s">
        <v>322</v>
      </c>
      <c r="G42" s="1" t="s">
        <v>343</v>
      </c>
    </row>
    <row r="44">
      <c r="B44" s="67" t="s">
        <v>344</v>
      </c>
      <c r="C44" s="68"/>
      <c r="D44" s="68"/>
      <c r="E44" s="68"/>
      <c r="F44" s="68"/>
      <c r="G44" s="68"/>
    </row>
    <row r="45">
      <c r="B45" s="49" t="s">
        <v>130</v>
      </c>
      <c r="C45" s="87"/>
      <c r="D45" s="1" t="s">
        <v>302</v>
      </c>
      <c r="E45" s="88" t="s">
        <v>345</v>
      </c>
      <c r="F45" s="1" t="s">
        <v>346</v>
      </c>
      <c r="G45" s="1" t="s">
        <v>347</v>
      </c>
    </row>
    <row r="46">
      <c r="B46" s="49" t="s">
        <v>131</v>
      </c>
      <c r="C46" s="87"/>
      <c r="D46" s="1" t="s">
        <v>302</v>
      </c>
      <c r="E46" s="88" t="s">
        <v>348</v>
      </c>
      <c r="F46" s="1" t="s">
        <v>346</v>
      </c>
      <c r="G46" s="1" t="s">
        <v>347</v>
      </c>
    </row>
    <row r="47">
      <c r="B47" s="49" t="s">
        <v>132</v>
      </c>
      <c r="C47" s="89"/>
      <c r="D47" s="1" t="s">
        <v>302</v>
      </c>
      <c r="E47" s="88" t="s">
        <v>349</v>
      </c>
      <c r="F47" s="1" t="s">
        <v>346</v>
      </c>
      <c r="G47" s="1" t="s">
        <v>350</v>
      </c>
    </row>
    <row r="48">
      <c r="B48" s="49" t="s">
        <v>351</v>
      </c>
      <c r="C48" s="89"/>
      <c r="D48" s="1" t="s">
        <v>302</v>
      </c>
      <c r="E48" s="88" t="s">
        <v>352</v>
      </c>
      <c r="F48" s="1" t="s">
        <v>346</v>
      </c>
    </row>
    <row r="49">
      <c r="B49" s="49" t="s">
        <v>134</v>
      </c>
      <c r="C49" s="89"/>
      <c r="D49" s="1" t="s">
        <v>302</v>
      </c>
      <c r="E49" s="88" t="s">
        <v>353</v>
      </c>
      <c r="F49" s="1" t="s">
        <v>346</v>
      </c>
      <c r="G49" s="1" t="s">
        <v>350</v>
      </c>
    </row>
    <row r="50">
      <c r="B50" s="49" t="s">
        <v>135</v>
      </c>
      <c r="C50" s="89"/>
      <c r="D50" s="1" t="s">
        <v>302</v>
      </c>
      <c r="E50" s="88" t="s">
        <v>354</v>
      </c>
      <c r="F50" s="1" t="s">
        <v>346</v>
      </c>
      <c r="G50" s="1" t="s">
        <v>350</v>
      </c>
    </row>
    <row r="51">
      <c r="B51" s="49" t="s">
        <v>136</v>
      </c>
      <c r="C51" s="89"/>
      <c r="D51" s="1" t="s">
        <v>302</v>
      </c>
      <c r="E51" s="88" t="s">
        <v>355</v>
      </c>
      <c r="F51" s="1" t="s">
        <v>346</v>
      </c>
    </row>
    <row r="52">
      <c r="B52" s="49" t="s">
        <v>137</v>
      </c>
      <c r="C52" s="89"/>
      <c r="D52" s="1" t="s">
        <v>302</v>
      </c>
      <c r="E52" s="88" t="s">
        <v>356</v>
      </c>
      <c r="F52" s="1" t="s">
        <v>346</v>
      </c>
    </row>
    <row r="53">
      <c r="B53" s="49" t="s">
        <v>138</v>
      </c>
      <c r="C53" s="89"/>
      <c r="D53" s="1" t="s">
        <v>302</v>
      </c>
      <c r="E53" s="88" t="s">
        <v>357</v>
      </c>
      <c r="F53" s="1" t="s">
        <v>346</v>
      </c>
    </row>
    <row r="54">
      <c r="B54" s="49" t="s">
        <v>139</v>
      </c>
      <c r="C54" s="89"/>
      <c r="D54" s="1" t="s">
        <v>302</v>
      </c>
      <c r="E54" s="88" t="s">
        <v>358</v>
      </c>
      <c r="F54" s="1" t="s">
        <v>346</v>
      </c>
      <c r="G54" s="1" t="s">
        <v>359</v>
      </c>
    </row>
    <row r="55">
      <c r="B55" s="49" t="s">
        <v>360</v>
      </c>
      <c r="C55" s="89"/>
      <c r="D55" s="1" t="s">
        <v>302</v>
      </c>
      <c r="E55" s="88" t="s">
        <v>361</v>
      </c>
      <c r="F55" s="1" t="s">
        <v>346</v>
      </c>
    </row>
    <row r="56">
      <c r="B56" s="49" t="s">
        <v>62</v>
      </c>
      <c r="C56" s="89"/>
      <c r="D56" s="1" t="s">
        <v>309</v>
      </c>
      <c r="E56" s="88" t="s">
        <v>362</v>
      </c>
      <c r="F56" s="1" t="s">
        <v>293</v>
      </c>
      <c r="G56" s="1" t="s">
        <v>363</v>
      </c>
    </row>
    <row r="57">
      <c r="B57" s="49" t="s">
        <v>142</v>
      </c>
      <c r="C57" s="89"/>
      <c r="D57" s="1" t="s">
        <v>302</v>
      </c>
      <c r="E57" s="88" t="s">
        <v>364</v>
      </c>
      <c r="F57" s="1" t="s">
        <v>346</v>
      </c>
      <c r="G57" s="1" t="s">
        <v>359</v>
      </c>
    </row>
    <row r="58">
      <c r="B58" s="49" t="s">
        <v>365</v>
      </c>
      <c r="C58" s="89"/>
      <c r="D58" s="1" t="s">
        <v>302</v>
      </c>
      <c r="E58" s="88" t="s">
        <v>366</v>
      </c>
      <c r="F58" s="1" t="s">
        <v>346</v>
      </c>
    </row>
    <row r="59">
      <c r="B59" s="49" t="s">
        <v>144</v>
      </c>
      <c r="C59" s="89"/>
      <c r="D59" s="1" t="s">
        <v>302</v>
      </c>
      <c r="E59" s="88" t="s">
        <v>367</v>
      </c>
      <c r="F59" s="1" t="s">
        <v>346</v>
      </c>
    </row>
    <row r="60">
      <c r="B60" s="49" t="s">
        <v>145</v>
      </c>
      <c r="C60" s="89"/>
      <c r="D60" s="1" t="s">
        <v>302</v>
      </c>
      <c r="E60" s="88" t="s">
        <v>368</v>
      </c>
      <c r="F60" s="1" t="s">
        <v>346</v>
      </c>
    </row>
    <row r="61">
      <c r="B61" s="49" t="s">
        <v>369</v>
      </c>
      <c r="C61" s="89"/>
      <c r="D61" s="1" t="s">
        <v>302</v>
      </c>
      <c r="E61" s="88" t="s">
        <v>370</v>
      </c>
      <c r="F61" s="1" t="s">
        <v>346</v>
      </c>
    </row>
    <row r="62">
      <c r="B62" s="49" t="s">
        <v>147</v>
      </c>
      <c r="C62" s="89"/>
      <c r="D62" s="1" t="s">
        <v>302</v>
      </c>
      <c r="E62" s="88" t="s">
        <v>371</v>
      </c>
      <c r="F62" s="1" t="s">
        <v>346</v>
      </c>
    </row>
    <row r="63">
      <c r="B63" s="49" t="s">
        <v>148</v>
      </c>
      <c r="C63" s="89"/>
      <c r="D63" s="1" t="s">
        <v>302</v>
      </c>
      <c r="E63" s="88" t="s">
        <v>372</v>
      </c>
      <c r="F63" s="1" t="s">
        <v>346</v>
      </c>
    </row>
    <row r="64">
      <c r="B64" s="49" t="s">
        <v>373</v>
      </c>
      <c r="C64" s="89"/>
      <c r="D64" s="1" t="s">
        <v>302</v>
      </c>
      <c r="E64" s="88" t="s">
        <v>295</v>
      </c>
      <c r="F64" s="1" t="s">
        <v>305</v>
      </c>
      <c r="G64" s="1" t="s">
        <v>374</v>
      </c>
    </row>
    <row r="65">
      <c r="B65" s="49" t="s">
        <v>375</v>
      </c>
      <c r="C65" s="89"/>
      <c r="D65" s="1" t="s">
        <v>302</v>
      </c>
      <c r="E65" s="88" t="s">
        <v>295</v>
      </c>
      <c r="F65" s="1" t="s">
        <v>296</v>
      </c>
      <c r="G65" s="1" t="s">
        <v>376</v>
      </c>
    </row>
    <row r="67">
      <c r="B67" s="57" t="s">
        <v>377</v>
      </c>
      <c r="C67" s="58"/>
      <c r="D67" s="58"/>
      <c r="E67" s="58"/>
      <c r="F67" s="58"/>
      <c r="G67" s="58"/>
    </row>
    <row r="68">
      <c r="B68" s="11" t="s">
        <v>378</v>
      </c>
      <c r="C68" s="89"/>
      <c r="D68" s="1" t="s">
        <v>280</v>
      </c>
      <c r="E68" s="88" t="s">
        <v>379</v>
      </c>
      <c r="F68" s="1" t="s">
        <v>380</v>
      </c>
      <c r="G68" s="1" t="s">
        <v>381</v>
      </c>
    </row>
    <row r="69">
      <c r="B69" s="11" t="s">
        <v>382</v>
      </c>
      <c r="C69" s="89"/>
      <c r="D69" s="1" t="s">
        <v>280</v>
      </c>
      <c r="E69" s="88" t="s">
        <v>383</v>
      </c>
      <c r="F69" s="1" t="s">
        <v>380</v>
      </c>
      <c r="G69" s="1" t="s">
        <v>384</v>
      </c>
    </row>
    <row r="70">
      <c r="B70" s="11" t="s">
        <v>385</v>
      </c>
      <c r="C70" s="89"/>
      <c r="D70" s="1" t="s">
        <v>286</v>
      </c>
      <c r="E70" s="88" t="s">
        <v>386</v>
      </c>
      <c r="F70" s="1" t="s">
        <v>380</v>
      </c>
      <c r="G70" s="1" t="s">
        <v>387</v>
      </c>
    </row>
    <row r="71">
      <c r="B71" s="11" t="s">
        <v>388</v>
      </c>
      <c r="C71" s="89"/>
      <c r="D71" s="1" t="s">
        <v>280</v>
      </c>
      <c r="E71" s="88" t="s">
        <v>389</v>
      </c>
      <c r="F71" s="1" t="s">
        <v>380</v>
      </c>
      <c r="G71" s="1" t="s">
        <v>390</v>
      </c>
    </row>
    <row r="72">
      <c r="B72" s="11" t="s">
        <v>72</v>
      </c>
      <c r="C72" s="89"/>
      <c r="D72" s="1" t="s">
        <v>302</v>
      </c>
      <c r="E72" s="88" t="s">
        <v>391</v>
      </c>
      <c r="F72" s="1" t="s">
        <v>380</v>
      </c>
      <c r="G72" s="1" t="s">
        <v>392</v>
      </c>
    </row>
    <row r="73">
      <c r="B73" s="11" t="s">
        <v>73</v>
      </c>
      <c r="C73" s="89"/>
      <c r="D73" s="1" t="s">
        <v>302</v>
      </c>
      <c r="E73" s="88" t="s">
        <v>393</v>
      </c>
      <c r="F73" s="1" t="s">
        <v>380</v>
      </c>
      <c r="G73" s="1" t="s">
        <v>394</v>
      </c>
    </row>
    <row r="74">
      <c r="B74" s="11" t="s">
        <v>395</v>
      </c>
      <c r="C74" s="89"/>
      <c r="D74" s="1" t="s">
        <v>396</v>
      </c>
      <c r="E74" s="88" t="s">
        <v>397</v>
      </c>
      <c r="F74" s="1" t="s">
        <v>380</v>
      </c>
    </row>
    <row r="75">
      <c r="B75" s="11" t="s">
        <v>398</v>
      </c>
      <c r="C75" s="89"/>
      <c r="D75" s="1" t="s">
        <v>396</v>
      </c>
      <c r="E75" s="88" t="s">
        <v>399</v>
      </c>
      <c r="F75" s="1" t="s">
        <v>380</v>
      </c>
    </row>
    <row r="76">
      <c r="B76" s="11" t="s">
        <v>77</v>
      </c>
      <c r="C76" s="89"/>
      <c r="D76" s="1" t="s">
        <v>280</v>
      </c>
      <c r="E76" s="88" t="s">
        <v>400</v>
      </c>
      <c r="F76" s="1" t="s">
        <v>380</v>
      </c>
      <c r="G76" s="1" t="s">
        <v>401</v>
      </c>
    </row>
    <row r="78">
      <c r="B78" s="53" t="s">
        <v>402</v>
      </c>
      <c r="C78" s="54"/>
      <c r="D78" s="54"/>
      <c r="E78" s="54"/>
      <c r="F78" s="54"/>
      <c r="G78" s="54"/>
    </row>
    <row r="79">
      <c r="B79" s="11" t="s">
        <v>403</v>
      </c>
      <c r="C79" s="89"/>
      <c r="D79" s="1" t="s">
        <v>302</v>
      </c>
      <c r="E79" s="88" t="s">
        <v>404</v>
      </c>
      <c r="F79" s="1" t="s">
        <v>405</v>
      </c>
      <c r="G79" s="1" t="s">
        <v>406</v>
      </c>
    </row>
    <row r="80">
      <c r="B80" s="11" t="s">
        <v>407</v>
      </c>
      <c r="C80" s="89"/>
      <c r="D80" s="1" t="s">
        <v>309</v>
      </c>
      <c r="E80" s="88" t="s">
        <v>408</v>
      </c>
      <c r="F80" s="1" t="s">
        <v>405</v>
      </c>
      <c r="G80" s="1" t="s">
        <v>409</v>
      </c>
    </row>
    <row r="81">
      <c r="B81" s="11" t="s">
        <v>160</v>
      </c>
      <c r="C81" s="89"/>
      <c r="D81" s="1" t="s">
        <v>286</v>
      </c>
      <c r="E81" s="88" t="s">
        <v>410</v>
      </c>
      <c r="F81" s="1" t="s">
        <v>405</v>
      </c>
      <c r="G81" s="1" t="s">
        <v>411</v>
      </c>
    </row>
    <row r="82">
      <c r="B82" s="11" t="s">
        <v>412</v>
      </c>
      <c r="C82" s="89"/>
      <c r="D82" s="1" t="s">
        <v>302</v>
      </c>
      <c r="E82" s="88" t="s">
        <v>295</v>
      </c>
      <c r="F82" s="1" t="s">
        <v>305</v>
      </c>
      <c r="G82" s="1" t="s">
        <v>413</v>
      </c>
    </row>
    <row r="83">
      <c r="B83" s="11" t="s">
        <v>414</v>
      </c>
      <c r="C83" s="89"/>
      <c r="D83" s="1" t="s">
        <v>396</v>
      </c>
      <c r="E83" s="88" t="s">
        <v>295</v>
      </c>
      <c r="F83" s="1" t="s">
        <v>296</v>
      </c>
      <c r="G83" s="1" t="s">
        <v>415</v>
      </c>
    </row>
    <row r="84">
      <c r="B84" s="11" t="s">
        <v>416</v>
      </c>
      <c r="C84" s="89"/>
      <c r="D84" s="1" t="s">
        <v>280</v>
      </c>
      <c r="E84" s="88" t="s">
        <v>295</v>
      </c>
      <c r="F84" s="1" t="s">
        <v>296</v>
      </c>
      <c r="G84" s="1" t="s">
        <v>417</v>
      </c>
    </row>
    <row r="85">
      <c r="B85" s="11" t="s">
        <v>418</v>
      </c>
      <c r="C85" s="89"/>
      <c r="D85" s="1" t="s">
        <v>280</v>
      </c>
      <c r="E85" s="88" t="s">
        <v>295</v>
      </c>
      <c r="F85" s="1" t="s">
        <v>296</v>
      </c>
      <c r="G85" s="1" t="s">
        <v>419</v>
      </c>
    </row>
    <row r="87">
      <c r="B87" s="64" t="s">
        <v>420</v>
      </c>
      <c r="C87" s="65"/>
      <c r="D87" s="65"/>
      <c r="E87" s="65"/>
      <c r="F87" s="65"/>
      <c r="G87" s="65"/>
    </row>
    <row r="88">
      <c r="B88" s="90" t="s">
        <v>421</v>
      </c>
      <c r="C88" s="91"/>
      <c r="D88" s="1" t="s">
        <v>309</v>
      </c>
      <c r="E88" s="88" t="s">
        <v>422</v>
      </c>
      <c r="F88" s="1" t="s">
        <v>293</v>
      </c>
      <c r="G88" s="1" t="s">
        <v>423</v>
      </c>
    </row>
    <row r="89">
      <c r="B89" s="90" t="s">
        <v>424</v>
      </c>
      <c r="C89" s="91"/>
      <c r="D89" s="1" t="s">
        <v>309</v>
      </c>
      <c r="E89" s="88" t="s">
        <v>425</v>
      </c>
      <c r="F89" s="1" t="s">
        <v>293</v>
      </c>
      <c r="G89" s="1" t="s">
        <v>426</v>
      </c>
    </row>
    <row r="90">
      <c r="B90" s="90" t="s">
        <v>427</v>
      </c>
      <c r="C90" s="91"/>
      <c r="D90" s="1" t="s">
        <v>309</v>
      </c>
      <c r="E90" s="88" t="s">
        <v>428</v>
      </c>
      <c r="F90" s="1" t="s">
        <v>293</v>
      </c>
      <c r="G90" s="1" t="s">
        <v>429</v>
      </c>
    </row>
    <row r="91">
      <c r="B91" s="90" t="s">
        <v>430</v>
      </c>
      <c r="C91" s="91"/>
      <c r="D91" s="1" t="s">
        <v>309</v>
      </c>
      <c r="E91" s="88" t="s">
        <v>431</v>
      </c>
      <c r="F91" s="1" t="s">
        <v>293</v>
      </c>
      <c r="G91" s="1" t="s">
        <v>429</v>
      </c>
    </row>
    <row r="92">
      <c r="B92" s="90" t="s">
        <v>50</v>
      </c>
      <c r="C92" s="91"/>
      <c r="D92" s="1" t="s">
        <v>309</v>
      </c>
      <c r="E92" s="88" t="s">
        <v>432</v>
      </c>
      <c r="F92" s="1" t="s">
        <v>293</v>
      </c>
      <c r="G92" s="1" t="s">
        <v>433</v>
      </c>
    </row>
    <row r="93">
      <c r="B93" s="90" t="s">
        <v>434</v>
      </c>
      <c r="C93" s="91"/>
      <c r="D93" s="1" t="s">
        <v>302</v>
      </c>
      <c r="E93" s="88" t="s">
        <v>435</v>
      </c>
      <c r="F93" s="1" t="s">
        <v>293</v>
      </c>
      <c r="G93" s="1" t="s">
        <v>436</v>
      </c>
    </row>
    <row r="96">
      <c r="B96" s="92" t="s">
        <v>437</v>
      </c>
      <c r="C96" s="93"/>
      <c r="D96" s="93"/>
      <c r="E96" s="93"/>
      <c r="F96" s="93"/>
      <c r="G96" s="93"/>
    </row>
    <row r="97">
      <c r="B97" s="13" t="s">
        <v>438</v>
      </c>
      <c r="C97" s="13" t="s">
        <v>439</v>
      </c>
      <c r="D97" s="13" t="s">
        <v>438</v>
      </c>
      <c r="E97" s="13" t="s">
        <v>439</v>
      </c>
    </row>
    <row r="98">
      <c r="B98" s="11" t="s">
        <v>17</v>
      </c>
      <c r="C98" s="88" t="s">
        <v>303</v>
      </c>
      <c r="D98" s="11" t="s">
        <v>15</v>
      </c>
      <c r="E98" s="88" t="s">
        <v>287</v>
      </c>
    </row>
    <row r="99">
      <c r="B99" s="11" t="s">
        <v>34</v>
      </c>
      <c r="C99" s="88" t="s">
        <v>440</v>
      </c>
      <c r="D99" s="11" t="s">
        <v>441</v>
      </c>
      <c r="E99" s="88" t="s">
        <v>442</v>
      </c>
    </row>
    <row r="100">
      <c r="B100" s="11" t="s">
        <v>38</v>
      </c>
      <c r="C100" s="88" t="s">
        <v>443</v>
      </c>
      <c r="D100" s="11" t="s">
        <v>42</v>
      </c>
      <c r="E100" s="88" t="s">
        <v>444</v>
      </c>
    </row>
    <row r="101">
      <c r="B101" s="11" t="s">
        <v>177</v>
      </c>
      <c r="C101" s="88" t="s">
        <v>445</v>
      </c>
      <c r="D101" s="11" t="s">
        <v>205</v>
      </c>
      <c r="E101" s="88" t="s">
        <v>446</v>
      </c>
    </row>
    <row r="102">
      <c r="B102" s="11" t="s">
        <v>447</v>
      </c>
      <c r="C102" s="88" t="s">
        <v>448</v>
      </c>
      <c r="D102" s="11" t="s">
        <v>449</v>
      </c>
      <c r="E102" s="88" t="s">
        <v>450</v>
      </c>
    </row>
    <row r="103">
      <c r="B103" s="11" t="s">
        <v>451</v>
      </c>
      <c r="C103" s="88" t="s">
        <v>452</v>
      </c>
      <c r="D103" s="11" t="s">
        <v>453</v>
      </c>
      <c r="E103" s="88" t="s">
        <v>454</v>
      </c>
    </row>
    <row r="104">
      <c r="B104" s="11" t="s">
        <v>455</v>
      </c>
      <c r="C104" s="88" t="s">
        <v>456</v>
      </c>
      <c r="D104" s="11" t="s">
        <v>457</v>
      </c>
      <c r="E104" s="88" t="s">
        <v>295</v>
      </c>
    </row>
    <row r="107">
      <c r="B107" s="13" t="s">
        <v>458</v>
      </c>
      <c r="C107" s="31"/>
    </row>
    <row r="108">
      <c r="B108" s="94" t="s">
        <v>459</v>
      </c>
      <c r="C108" s="1" t="s">
        <v>460</v>
      </c>
    </row>
    <row r="109">
      <c r="B109" s="95" t="s">
        <v>461</v>
      </c>
      <c r="C109" s="1" t="s">
        <v>462</v>
      </c>
    </row>
    <row r="110">
      <c r="B110" s="96" t="s">
        <v>463</v>
      </c>
      <c r="C110" s="1" t="s">
        <v>464</v>
      </c>
    </row>
    <row r="111">
      <c r="B111" s="1" t="s">
        <v>465</v>
      </c>
      <c r="C111" s="88" t="s">
        <v>466</v>
      </c>
    </row>
  </sheetData>
  <drawing r:id="rId1"/>
</worksheet>
</file>