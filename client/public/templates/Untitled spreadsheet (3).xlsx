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</sheets>
  <definedNames/>
  <calcPr/>
</workbook>
</file>

<file path=xl/sharedStrings.xml><?xml version="1.0" encoding="utf-8"?>
<sst xmlns="http://schemas.openxmlformats.org/spreadsheetml/2006/main" count="287" uniqueCount="243">
  <si>
    <t>MULTIFAMILY VALUE-ADD + RUBS MODEL</t>
  </si>
  <si>
    <t>PROPERTY INFORMATION</t>
  </si>
  <si>
    <t>FINANCING</t>
  </si>
  <si>
    <t>Property Name</t>
  </si>
  <si>
    <t>Sample Apartments</t>
  </si>
  <si>
    <t>Loan-to-Value (LTV)</t>
  </si>
  <si>
    <t>Address</t>
  </si>
  <si>
    <t>123 Main Street</t>
  </si>
  <si>
    <t>Loan Amount</t>
  </si>
  <si>
    <t>City, State ZIP</t>
  </si>
  <si>
    <t>Austin, TX 78701</t>
  </si>
  <si>
    <t>Interest Rate</t>
  </si>
  <si>
    <t>Total Units</t>
  </si>
  <si>
    <t>Amortization (Years)</t>
  </si>
  <si>
    <t>Total Rentable SF</t>
  </si>
  <si>
    <t>Loan Term (Years)</t>
  </si>
  <si>
    <t>Year Built</t>
  </si>
  <si>
    <t>Annual Debt Service</t>
  </si>
  <si>
    <t>ACQUISITION</t>
  </si>
  <si>
    <t>EQUITY</t>
  </si>
  <si>
    <t>Purchase Price</t>
  </si>
  <si>
    <t>Equity for Purchase</t>
  </si>
  <si>
    <t>Closing Costs (%)</t>
  </si>
  <si>
    <t>Equity for Closing</t>
  </si>
  <si>
    <t>Closing Costs ($)</t>
  </si>
  <si>
    <t>Renovation Budget</t>
  </si>
  <si>
    <t>Total Acquisition Cost</t>
  </si>
  <si>
    <t>Total Equity Required</t>
  </si>
  <si>
    <t>KEY METRICS</t>
  </si>
  <si>
    <t>Price / Unit</t>
  </si>
  <si>
    <t>Going-In Cap Rate</t>
  </si>
  <si>
    <t>Price / SF</t>
  </si>
  <si>
    <t>Debt Yield</t>
  </si>
  <si>
    <t>Avg SF / Unit</t>
  </si>
  <si>
    <t>DSCR (Year 1)</t>
  </si>
  <si>
    <t>UNIT MIX &amp; RENT ROLL</t>
  </si>
  <si>
    <t>Unit Type</t>
  </si>
  <si>
    <t>Beds</t>
  </si>
  <si>
    <t>Baths</t>
  </si>
  <si>
    <t># Units</t>
  </si>
  <si>
    <t>SF/Unit</t>
  </si>
  <si>
    <t>Total SF</t>
  </si>
  <si>
    <t>Avg Occ</t>
  </si>
  <si>
    <t>Current Rent</t>
  </si>
  <si>
    <t>Market Rent</t>
  </si>
  <si>
    <t>Rent Gap</t>
  </si>
  <si>
    <t>Loss-to-Lease</t>
  </si>
  <si>
    <t>Annual LTL</t>
  </si>
  <si>
    <t>% of Total</t>
  </si>
  <si>
    <t>Studio</t>
  </si>
  <si>
    <t>1BR/1BA</t>
  </si>
  <si>
    <t>1BR/1BA Lrg</t>
  </si>
  <si>
    <t>2BR/1BA</t>
  </si>
  <si>
    <t>2BR/2BA</t>
  </si>
  <si>
    <t>3BR/2BA</t>
  </si>
  <si>
    <t>TOTAL / WTD AVG</t>
  </si>
  <si>
    <t>OCCUPANCY &amp; REVENUE ASSUMPTIONS</t>
  </si>
  <si>
    <t>Physical Occupancy</t>
  </si>
  <si>
    <t>Other Income / Unit / Month</t>
  </si>
  <si>
    <t>Bad Debt (% of Rent)</t>
  </si>
  <si>
    <t>Concessions / Unit / Year</t>
  </si>
  <si>
    <t>YEAR 1 REVENUE SUMMARY</t>
  </si>
  <si>
    <t>Gross Potential Rent (GPR)</t>
  </si>
  <si>
    <t>(-) Vacancy Loss</t>
  </si>
  <si>
    <t>(-) Loss-to-Lease</t>
  </si>
  <si>
    <t>(-) Bad Debt</t>
  </si>
  <si>
    <t>(-) Concessions</t>
  </si>
  <si>
    <t>(+) Other Income</t>
  </si>
  <si>
    <t>Effective Gross Income (EGI)</t>
  </si>
  <si>
    <t>DETAILED OPERATING EXPENSES</t>
  </si>
  <si>
    <t>Expense Category</t>
  </si>
  <si>
    <t>Year 1 Amount</t>
  </si>
  <si>
    <t>Per Unit</t>
  </si>
  <si>
    <t>% of EGI</t>
  </si>
  <si>
    <t>Growth Rate</t>
  </si>
  <si>
    <t>TAXES &amp; INSURANCE</t>
  </si>
  <si>
    <t>Real Estate Taxes</t>
  </si>
  <si>
    <t>Property Insurance</t>
  </si>
  <si>
    <t>Subtotal - Taxes &amp; Insurance</t>
  </si>
  <si>
    <t>UTILITIES (OWNER PAID)</t>
  </si>
  <si>
    <t>Water / Sewer</t>
  </si>
  <si>
    <t>Electric (Common)</t>
  </si>
  <si>
    <t>Gas (Common)</t>
  </si>
  <si>
    <t>Trash Removal</t>
  </si>
  <si>
    <t>Pest Control</t>
  </si>
  <si>
    <t>Cable / Internet</t>
  </si>
  <si>
    <t>Amenity Services</t>
  </si>
  <si>
    <t>Subtotal - Utilities</t>
  </si>
  <si>
    <t>PAYROLL</t>
  </si>
  <si>
    <t>Property Manager</t>
  </si>
  <si>
    <t>Maintenance Staff</t>
  </si>
  <si>
    <t>Leasing Staff</t>
  </si>
  <si>
    <t>Payroll Taxes &amp; Benefits</t>
  </si>
  <si>
    <t>Subtotal - Payroll</t>
  </si>
  <si>
    <t>REPAIRS &amp; MAINTENANCE</t>
  </si>
  <si>
    <t>General Repairs</t>
  </si>
  <si>
    <t>HVAC Maintenance</t>
  </si>
  <si>
    <t>Plumbing</t>
  </si>
  <si>
    <t>Electrical</t>
  </si>
  <si>
    <t>Appliance Repair</t>
  </si>
  <si>
    <t>Make-Ready / Turnover</t>
  </si>
  <si>
    <t>Subtotal - Repairs</t>
  </si>
  <si>
    <t>ADMIN &amp; MARKETING</t>
  </si>
  <si>
    <t>Advertising &amp; Marketing</t>
  </si>
  <si>
    <t>Professional Fees</t>
  </si>
  <si>
    <t>Office Supplies</t>
  </si>
  <si>
    <t>Telephone / Internet</t>
  </si>
  <si>
    <t>Resident Events</t>
  </si>
  <si>
    <t>Subtotal - Admin</t>
  </si>
  <si>
    <t>CONTRACT SERVICES</t>
  </si>
  <si>
    <t>Landscaping</t>
  </si>
  <si>
    <t>Pool Maintenance</t>
  </si>
  <si>
    <t>Security</t>
  </si>
  <si>
    <t>Elevator Maintenance</t>
  </si>
  <si>
    <t>Subtotal - Contract</t>
  </si>
  <si>
    <t>MANAGEMENT &amp; RESERVES</t>
  </si>
  <si>
    <t>Management Fee (% EGI)</t>
  </si>
  <si>
    <t>Replacement Reserves</t>
  </si>
  <si>
    <t>TOTAL OPERATING EXPENSES</t>
  </si>
  <si>
    <t>RUBS (RATIO UTILITY BILLING SYSTEM) CALCULATOR</t>
  </si>
  <si>
    <t>ALLOCATION REFERENCE BY UNIT TYPE</t>
  </si>
  <si>
    <t>Total Beds</t>
  </si>
  <si>
    <t>Total Occ</t>
  </si>
  <si>
    <t>Equal</t>
  </si>
  <si>
    <t>TOTAL</t>
  </si>
  <si>
    <t>RUBS CONFIGURATION</t>
  </si>
  <si>
    <t>Utility Type</t>
  </si>
  <si>
    <t>Monthly Cost</t>
  </si>
  <si>
    <t>Allocation</t>
  </si>
  <si>
    <t>Recovery %</t>
  </si>
  <si>
    <t>Monthly Recovery</t>
  </si>
  <si>
    <t>Annual Recovery</t>
  </si>
  <si>
    <t>Net Cost</t>
  </si>
  <si>
    <t>Occupants</t>
  </si>
  <si>
    <t>Sq Ft</t>
  </si>
  <si>
    <t>Gas</t>
  </si>
  <si>
    <t>Trash</t>
  </si>
  <si>
    <t>Amenity Fee</t>
  </si>
  <si>
    <t>TOTAL RUBS</t>
  </si>
  <si>
    <t>MONTHLY BILLBACK PER UNIT TYPE</t>
  </si>
  <si>
    <t>Water/Sewer</t>
  </si>
  <si>
    <t>Electric</t>
  </si>
  <si>
    <t>Pest</t>
  </si>
  <si>
    <t>Cable</t>
  </si>
  <si>
    <t>Amenity</t>
  </si>
  <si>
    <t>AVG / UNIT</t>
  </si>
  <si>
    <t>Annual RUBS Income:</t>
  </si>
  <si>
    <t>VALUE-ADD RENOVATION SCHEDULE</t>
  </si>
  <si>
    <t>RENOVATION BUDGET</t>
  </si>
  <si>
    <t>UNIT TURN SCHEDULE</t>
  </si>
  <si>
    <t>Category</t>
  </si>
  <si>
    <t>Units</t>
  </si>
  <si>
    <t>Total</t>
  </si>
  <si>
    <t>Units to Renovate</t>
  </si>
  <si>
    <t>INTERIOR RENOVATIONS</t>
  </si>
  <si>
    <t>Renovation Period (Months)</t>
  </si>
  <si>
    <t>Kitchen (cabinets, counters, appliances)</t>
  </si>
  <si>
    <t>Units per Month</t>
  </si>
  <si>
    <t>Bathroom (fixtures, vanity, tile)</t>
  </si>
  <si>
    <t>Rent Premium (Renovated)</t>
  </si>
  <si>
    <t>Flooring (LVP, carpet)</t>
  </si>
  <si>
    <t>Premium Stabilization (Months)</t>
  </si>
  <si>
    <t>Paint &amp; Finishes</t>
  </si>
  <si>
    <t>Lighting &amp; Electrical</t>
  </si>
  <si>
    <t>TURN TIMELINE (BY YEAR)</t>
  </si>
  <si>
    <t>HVAC Upgrades</t>
  </si>
  <si>
    <t>Metric</t>
  </si>
  <si>
    <t>Year 1</t>
  </si>
  <si>
    <t>Year 2</t>
  </si>
  <si>
    <t>Year 3</t>
  </si>
  <si>
    <t>Year 4</t>
  </si>
  <si>
    <t>Year 5</t>
  </si>
  <si>
    <t>Subtotal Interior</t>
  </si>
  <si>
    <t>Units Renovated</t>
  </si>
  <si>
    <t>EXTERIOR &amp; COMMON AREAS</t>
  </si>
  <si>
    <t>Cumulative Turned</t>
  </si>
  <si>
    <t>Exterior Paint / Siding</t>
  </si>
  <si>
    <t>% Complete</t>
  </si>
  <si>
    <t>Roofing Repairs</t>
  </si>
  <si>
    <t>Avg Units w/ Premium</t>
  </si>
  <si>
    <t>Premium Income (Annual)</t>
  </si>
  <si>
    <t>Parking Lot / Lighting</t>
  </si>
  <si>
    <t>CapEx Deployed</t>
  </si>
  <si>
    <t>Pool / Amenity Upgrades</t>
  </si>
  <si>
    <t>Clubhouse / Leasing Office</t>
  </si>
  <si>
    <t>Subtotal Exterior</t>
  </si>
  <si>
    <t>5-YEAR PRO FORMA &amp; RETURNS ANALYSIS</t>
  </si>
  <si>
    <t>Contingency (10%)</t>
  </si>
  <si>
    <t>GROWTH ASSUMPTIONS</t>
  </si>
  <si>
    <t>Annual Rent Growth</t>
  </si>
  <si>
    <t>Annual Expense Growth</t>
  </si>
  <si>
    <t>RUBS Recovery Growth</t>
  </si>
  <si>
    <t>Stabilized Occupancy</t>
  </si>
  <si>
    <t>PRO FORMA OPERATING STATEMENT</t>
  </si>
  <si>
    <t>Year 0</t>
  </si>
  <si>
    <t>REVENUE</t>
  </si>
  <si>
    <t>Gross Potential Rent</t>
  </si>
  <si>
    <t>(-) Loss to Lease</t>
  </si>
  <si>
    <t>(+) Renovation Premium</t>
  </si>
  <si>
    <t>(-) Bad Debt &amp; Concessions</t>
  </si>
  <si>
    <t>(+) RUBS Income</t>
  </si>
  <si>
    <t>Effective Gross Income</t>
  </si>
  <si>
    <t>OPERATING EXPENSES</t>
  </si>
  <si>
    <t>Total Operating Expenses</t>
  </si>
  <si>
    <t>NET OPERATING INCOME (NOI)</t>
  </si>
  <si>
    <t>NOI Growth %</t>
  </si>
  <si>
    <t>DEBT SERVICE &amp; CASH FLOW</t>
  </si>
  <si>
    <t>(-) Debt Service</t>
  </si>
  <si>
    <t>(-) CapEx (Renovations)</t>
  </si>
  <si>
    <t>Cash Flow Before Tax</t>
  </si>
  <si>
    <t>EXIT ANALYSIS &amp; RETURNS</t>
  </si>
  <si>
    <t>Exit Cap Rate</t>
  </si>
  <si>
    <t>RETURNS SUMMARY</t>
  </si>
  <si>
    <t>Sales Costs (%)</t>
  </si>
  <si>
    <t>Cash-on-Cash Returns</t>
  </si>
  <si>
    <t>Holding Period (Years)</t>
  </si>
  <si>
    <t>Exit Calculations</t>
  </si>
  <si>
    <t>Stabilized NOI (Year 5)</t>
  </si>
  <si>
    <t>Gross Sale Price</t>
  </si>
  <si>
    <t>(-) Sales Costs</t>
  </si>
  <si>
    <t>Net Sale Price</t>
  </si>
  <si>
    <t>Key Returns Metrics</t>
  </si>
  <si>
    <t>Loan Balance at Exit</t>
  </si>
  <si>
    <t>Project IRR</t>
  </si>
  <si>
    <t>Net Proceeds (After Loan)</t>
  </si>
  <si>
    <t>Equity Multiple</t>
  </si>
  <si>
    <t>Avg Cash-on-Cash</t>
  </si>
  <si>
    <t>SENSITIVITY ANALYSIS</t>
  </si>
  <si>
    <t>IRR SENSITIVITY: EXIT CAP RATE vs RENT GROWTH</t>
  </si>
  <si>
    <t>IRR</t>
  </si>
  <si>
    <t>Exit Cap →</t>
  </si>
  <si>
    <t>Rent Growth ↓</t>
  </si>
  <si>
    <t>EQUITY MULTIPLE SENSITIVITY: EXIT CAP RATE vs RENT GROWTH</t>
  </si>
  <si>
    <t>EM</t>
  </si>
  <si>
    <t>MODEL KEY</t>
  </si>
  <si>
    <t>Yellow cells</t>
  </si>
  <si>
    <t>Editable inputs</t>
  </si>
  <si>
    <t>Blue section headers</t>
  </si>
  <si>
    <t>Section titles</t>
  </si>
  <si>
    <t>Gray cells</t>
  </si>
  <si>
    <t>Calculated / formula cells</t>
  </si>
  <si>
    <t>Yellow highlight</t>
  </si>
  <si>
    <t>Base case in sensitivity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</si>
</sst>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"/>
    <numFmt numFmtId="165" formatCode="$#,##0.00"/>
    <numFmt numFmtId="166" formatCode="0.00x"/>
    <numFmt numFmtId="167" formatCode="0.0"/>
    <numFmt numFmtId="168" formatCode="0.0%"/>
  </numFmts>
  <fonts count="9">
    <font>
      <sz val="10.0"/>
      <color rgb="FF000000"/>
      <name val="Arial"/>
      <scheme val="minor"/>
    </font>
    <font>
      <b/>
      <sz val="14.0"/>
      <color rgb="FF1F4E79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2F5496"/>
      <name val="Arial"/>
      <scheme val="minor"/>
    </font>
    <font>
      <b/>
      <i/>
      <color theme="1"/>
      <name val="Arial"/>
      <scheme val="minor"/>
    </font>
    <font>
      <b/>
      <sz val="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2F5496"/>
        <bgColor rgb="FF2F5496"/>
      </patternFill>
    </fill>
    <fill>
      <patternFill patternType="solid">
        <fgColor rgb="FFFFFFE0"/>
        <bgColor rgb="FFFFFFE0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10" xfId="0" applyAlignment="1" applyFont="1" applyNumberFormat="1">
      <alignment readingOrder="0"/>
    </xf>
    <xf borderId="0" fillId="0" fontId="3" numFmtId="164" xfId="0" applyFont="1" applyNumberFormat="1"/>
    <xf borderId="0" fillId="4" fontId="3" numFmtId="3" xfId="0" applyAlignment="1" applyFont="1" applyNumberFormat="1">
      <alignment readingOrder="0"/>
    </xf>
    <xf borderId="0" fillId="4" fontId="3" numFmtId="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4" fontId="3" numFmtId="164" xfId="0" applyAlignment="1" applyFont="1" applyNumberFormat="1">
      <alignment readingOrder="0"/>
    </xf>
    <xf borderId="0" fillId="0" fontId="3" numFmtId="10" xfId="0" applyFont="1" applyNumberFormat="1"/>
    <xf borderId="0" fillId="0" fontId="3" numFmtId="165" xfId="0" applyFont="1" applyNumberFormat="1"/>
    <xf borderId="0" fillId="0" fontId="3" numFmtId="3" xfId="0" applyFont="1" applyNumberFormat="1"/>
    <xf borderId="0" fillId="0" fontId="3" numFmtId="166" xfId="0" applyFont="1" applyNumberFormat="1"/>
    <xf borderId="0" fillId="3" fontId="5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167" xfId="0" applyAlignment="1" applyFont="1" applyNumberFormat="1">
      <alignment readingOrder="0"/>
    </xf>
    <xf borderId="0" fillId="0" fontId="3" numFmtId="168" xfId="0" applyFont="1" applyNumberFormat="1"/>
    <xf borderId="0" fillId="5" fontId="4" numFmtId="0" xfId="0" applyAlignment="1" applyFill="1" applyFont="1">
      <alignment readingOrder="0"/>
    </xf>
    <xf borderId="0" fillId="5" fontId="4" numFmtId="0" xfId="0" applyFont="1"/>
    <xf borderId="0" fillId="5" fontId="4" numFmtId="3" xfId="0" applyFont="1" applyNumberFormat="1"/>
    <xf borderId="0" fillId="5" fontId="4" numFmtId="167" xfId="0" applyFont="1" applyNumberFormat="1"/>
    <xf borderId="0" fillId="5" fontId="4" numFmtId="164" xfId="0" applyFont="1" applyNumberFormat="1"/>
    <xf borderId="0" fillId="5" fontId="4" numFmtId="168" xfId="0" applyFont="1" applyNumberFormat="1"/>
    <xf borderId="0" fillId="4" fontId="3" numFmtId="168" xfId="0" applyAlignment="1" applyFont="1" applyNumberFormat="1">
      <alignment readingOrder="0"/>
    </xf>
    <xf borderId="0" fillId="3" fontId="5" numFmtId="0" xfId="0" applyAlignment="1" applyFont="1">
      <alignment horizontal="center"/>
    </xf>
    <xf borderId="0" fillId="6" fontId="6" numFmtId="0" xfId="0" applyAlignment="1" applyFill="1" applyFont="1">
      <alignment readingOrder="0"/>
    </xf>
    <xf borderId="0" fillId="6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4" xfId="0" applyFont="1" applyNumberFormat="1"/>
    <xf borderId="0" fillId="0" fontId="7" numFmtId="168" xfId="0" applyFont="1" applyNumberFormat="1"/>
    <xf borderId="0" fillId="3" fontId="5" numFmtId="0" xfId="0" applyAlignment="1" applyFont="1">
      <alignment readingOrder="0"/>
    </xf>
    <xf borderId="0" fillId="3" fontId="5" numFmtId="0" xfId="0" applyFont="1"/>
    <xf borderId="0" fillId="3" fontId="5" numFmtId="164" xfId="0" applyFont="1" applyNumberFormat="1"/>
    <xf borderId="0" fillId="3" fontId="5" numFmtId="168" xfId="0" applyFont="1" applyNumberFormat="1"/>
    <xf borderId="0" fillId="5" fontId="4" numFmtId="0" xfId="0" applyAlignment="1" applyFont="1">
      <alignment horizontal="center" readingOrder="0"/>
    </xf>
    <xf borderId="0" fillId="0" fontId="3" numFmtId="167" xfId="0" applyFont="1" applyNumberFormat="1"/>
    <xf borderId="0" fillId="4" fontId="3" numFmtId="9" xfId="0" applyAlignment="1" applyFont="1" applyNumberFormat="1">
      <alignment readingOrder="0"/>
    </xf>
    <xf borderId="0" fillId="5" fontId="4" numFmtId="165" xfId="0" applyFont="1" applyNumberFormat="1"/>
    <xf borderId="0" fillId="0" fontId="3" numFmtId="3" xfId="0" applyAlignment="1" applyFont="1" applyNumberFormat="1">
      <alignment readingOrder="0"/>
    </xf>
    <xf borderId="0" fillId="0" fontId="3" numFmtId="9" xfId="0" applyFont="1" applyNumberFormat="1"/>
    <xf borderId="0" fillId="3" fontId="2" numFmtId="164" xfId="0" applyAlignment="1" applyFont="1" applyNumberFormat="1">
      <alignment readingOrder="0"/>
    </xf>
    <xf borderId="0" fillId="4" fontId="5" numFmtId="168" xfId="0" applyAlignment="1" applyFont="1" applyNumberFormat="1">
      <alignment readingOrder="0"/>
    </xf>
    <xf borderId="0" fillId="5" fontId="4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6" fontId="4" numFmtId="168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7" fontId="4" numFmtId="168" xfId="0" applyFill="1" applyFont="1" applyNumberFormat="1"/>
    <xf borderId="0" fillId="7" fontId="4" numFmtId="166" xfId="0" applyFont="1" applyNumberFormat="1"/>
    <xf borderId="0" fillId="5" fontId="3" numFmtId="0" xfId="0" applyAlignment="1" applyFont="1">
      <alignment readingOrder="0"/>
    </xf>
    <xf borderId="0" fillId="7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57.38"/>
    <col customWidth="1" min="3" max="3" width="10.63"/>
    <col customWidth="1" min="4" max="4" width="15.25"/>
    <col customWidth="1" min="5" max="5" width="9.38"/>
    <col customWidth="1" min="6" max="6" width="17.5"/>
    <col customWidth="1" min="7" max="7" width="23.88"/>
    <col customWidth="1" min="8" max="8" width="9.25"/>
    <col customWidth="1" min="9" max="9" width="10.25"/>
    <col customWidth="1" min="10" max="10" width="9.88"/>
    <col customWidth="1" min="11" max="11" width="7.63"/>
    <col customWidth="1" min="12" max="12" width="11.5"/>
    <col customWidth="1" min="13" max="13" width="9.0"/>
    <col customWidth="1" min="14" max="14" width="8.0"/>
  </cols>
  <sheetData>
    <row r="2">
      <c r="B2" s="1" t="s">
        <v>0</v>
      </c>
      <c r="C2" s="2"/>
      <c r="D2" s="2"/>
      <c r="E2" s="2"/>
      <c r="F2" s="2"/>
      <c r="G2" s="2"/>
      <c r="H2" s="2"/>
    </row>
    <row r="4">
      <c r="B4" s="3" t="s">
        <v>1</v>
      </c>
      <c r="C4" s="4"/>
      <c r="D4" s="4"/>
      <c r="F4" s="3" t="s">
        <v>2</v>
      </c>
      <c r="G4" s="4"/>
      <c r="H4" s="4"/>
    </row>
    <row r="5">
      <c r="B5" s="5" t="s">
        <v>3</v>
      </c>
      <c r="D5" s="6" t="s">
        <v>4</v>
      </c>
      <c r="F5" s="5" t="s">
        <v>5</v>
      </c>
      <c r="H5" s="7">
        <v>0.7</v>
      </c>
    </row>
    <row r="6">
      <c r="B6" s="5" t="s">
        <v>6</v>
      </c>
      <c r="D6" s="6" t="s">
        <v>7</v>
      </c>
      <c r="F6" s="5" t="s">
        <v>8</v>
      </c>
      <c r="H6" s="8">
        <f>D13*H5</f>
        <v>8400000</v>
      </c>
    </row>
    <row r="7">
      <c r="B7" s="5" t="s">
        <v>9</v>
      </c>
      <c r="D7" s="6" t="s">
        <v>10</v>
      </c>
      <c r="F7" s="5" t="s">
        <v>11</v>
      </c>
      <c r="H7" s="7">
        <v>0.065</v>
      </c>
    </row>
    <row r="8">
      <c r="B8" s="5" t="s">
        <v>12</v>
      </c>
      <c r="D8" s="9">
        <v>120.0</v>
      </c>
      <c r="F8" s="5" t="s">
        <v>13</v>
      </c>
      <c r="H8" s="10">
        <v>30.0</v>
      </c>
    </row>
    <row r="9">
      <c r="B9" s="5" t="s">
        <v>14</v>
      </c>
      <c r="D9" s="9">
        <v>96000.0</v>
      </c>
      <c r="F9" s="5" t="s">
        <v>15</v>
      </c>
      <c r="H9" s="10">
        <v>5.0</v>
      </c>
    </row>
    <row r="10">
      <c r="B10" s="5" t="s">
        <v>16</v>
      </c>
      <c r="D10" s="9">
        <v>1995.0</v>
      </c>
      <c r="F10" s="11" t="s">
        <v>17</v>
      </c>
      <c r="G10" s="12"/>
      <c r="H10" s="13">
        <f>-PMT(H7/12,H8*12,H6)*12</f>
        <v>637124.5677</v>
      </c>
    </row>
    <row r="12">
      <c r="B12" s="3" t="s">
        <v>18</v>
      </c>
      <c r="C12" s="4"/>
      <c r="D12" s="4"/>
      <c r="F12" s="3" t="s">
        <v>19</v>
      </c>
      <c r="G12" s="4"/>
      <c r="H12" s="4"/>
    </row>
    <row r="13">
      <c r="B13" s="5" t="s">
        <v>20</v>
      </c>
      <c r="D13" s="14">
        <v>1.2E7</v>
      </c>
      <c r="F13" s="5" t="s">
        <v>21</v>
      </c>
      <c r="H13" s="8">
        <f>D13-H6</f>
        <v>3600000</v>
      </c>
    </row>
    <row r="14">
      <c r="B14" s="5" t="s">
        <v>22</v>
      </c>
      <c r="D14" s="7">
        <v>0.02</v>
      </c>
      <c r="F14" s="5" t="s">
        <v>23</v>
      </c>
      <c r="H14" s="8">
        <f>D15</f>
        <v>240000</v>
      </c>
    </row>
    <row r="15">
      <c r="B15" s="5" t="s">
        <v>24</v>
      </c>
      <c r="D15" s="8">
        <f>D13*D14</f>
        <v>240000</v>
      </c>
      <c r="F15" s="5" t="s">
        <v>25</v>
      </c>
      <c r="H15" s="14">
        <v>1500000.0</v>
      </c>
    </row>
    <row r="16">
      <c r="B16" s="11" t="s">
        <v>26</v>
      </c>
      <c r="C16" s="12"/>
      <c r="D16" s="13">
        <f>D13+D15</f>
        <v>12240000</v>
      </c>
      <c r="F16" s="11" t="s">
        <v>27</v>
      </c>
      <c r="G16" s="12"/>
      <c r="H16" s="13">
        <f>H13+H14+H15</f>
        <v>5340000</v>
      </c>
    </row>
    <row r="18">
      <c r="B18" s="3" t="s">
        <v>28</v>
      </c>
      <c r="C18" s="4"/>
      <c r="D18" s="4"/>
      <c r="E18" s="4"/>
      <c r="F18" s="4"/>
      <c r="G18" s="4"/>
      <c r="H18" s="4"/>
    </row>
    <row r="19">
      <c r="B19" s="5" t="s">
        <v>29</v>
      </c>
      <c r="D19" s="8">
        <f>D13/D8</f>
        <v>100000</v>
      </c>
      <c r="F19" s="5" t="s">
        <v>30</v>
      </c>
      <c r="H19" s="15">
        <f>D185/D13</f>
        <v>0.09884055358</v>
      </c>
    </row>
    <row r="20">
      <c r="B20" s="5" t="s">
        <v>31</v>
      </c>
      <c r="D20" s="16">
        <f>D13/D9</f>
        <v>125</v>
      </c>
      <c r="F20" s="5" t="s">
        <v>32</v>
      </c>
      <c r="H20" s="15">
        <f>D185/H6</f>
        <v>0.1412007908</v>
      </c>
    </row>
    <row r="21">
      <c r="B21" s="5" t="s">
        <v>33</v>
      </c>
      <c r="D21" s="17">
        <f>D9/D8</f>
        <v>800</v>
      </c>
      <c r="F21" s="5" t="s">
        <v>34</v>
      </c>
      <c r="H21" s="18">
        <f>D185/H10</f>
        <v>1.861624403</v>
      </c>
    </row>
    <row r="28">
      <c r="B28" s="1" t="s">
        <v>35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30">
      <c r="B30" s="19" t="s">
        <v>36</v>
      </c>
      <c r="C30" s="19" t="s">
        <v>37</v>
      </c>
      <c r="D30" s="19" t="s">
        <v>38</v>
      </c>
      <c r="E30" s="19" t="s">
        <v>39</v>
      </c>
      <c r="F30" s="19" t="s">
        <v>40</v>
      </c>
      <c r="G30" s="19" t="s">
        <v>41</v>
      </c>
      <c r="H30" s="19" t="s">
        <v>42</v>
      </c>
      <c r="I30" s="19" t="s">
        <v>43</v>
      </c>
      <c r="J30" s="19" t="s">
        <v>44</v>
      </c>
      <c r="K30" s="19" t="s">
        <v>45</v>
      </c>
      <c r="L30" s="19" t="s">
        <v>46</v>
      </c>
      <c r="M30" s="19" t="s">
        <v>47</v>
      </c>
      <c r="N30" s="19" t="s">
        <v>48</v>
      </c>
    </row>
    <row r="31">
      <c r="B31" s="5" t="s">
        <v>49</v>
      </c>
      <c r="C31" s="20">
        <v>0.0</v>
      </c>
      <c r="D31" s="20">
        <v>1.0</v>
      </c>
      <c r="E31" s="20">
        <v>10.0</v>
      </c>
      <c r="F31" s="9">
        <v>500.0</v>
      </c>
      <c r="G31" s="17">
        <f t="shared" ref="G31:G36" si="1">E31*F31</f>
        <v>5000</v>
      </c>
      <c r="H31" s="21">
        <v>1.0</v>
      </c>
      <c r="I31" s="14">
        <v>950.0</v>
      </c>
      <c r="J31" s="14">
        <v>1050.0</v>
      </c>
      <c r="K31" s="8">
        <f t="shared" ref="K31:K36" si="2">J31-I31</f>
        <v>100</v>
      </c>
      <c r="L31" s="8">
        <f t="shared" ref="L31:L36" si="3">K31*E31</f>
        <v>1000</v>
      </c>
      <c r="M31" s="8">
        <f t="shared" ref="M31:M36" si="4">L31*12</f>
        <v>12000</v>
      </c>
      <c r="N31" s="22">
        <f t="shared" ref="N31:N36" si="5">E31/E$38</f>
        <v>0.08333333333</v>
      </c>
    </row>
    <row r="32">
      <c r="B32" s="5" t="s">
        <v>50</v>
      </c>
      <c r="C32" s="20">
        <v>1.0</v>
      </c>
      <c r="D32" s="20">
        <v>1.0</v>
      </c>
      <c r="E32" s="20">
        <v>35.0</v>
      </c>
      <c r="F32" s="9">
        <v>700.0</v>
      </c>
      <c r="G32" s="17">
        <f t="shared" si="1"/>
        <v>24500</v>
      </c>
      <c r="H32" s="21">
        <v>1.2</v>
      </c>
      <c r="I32" s="14">
        <v>1150.0</v>
      </c>
      <c r="J32" s="14">
        <v>1275.0</v>
      </c>
      <c r="K32" s="8">
        <f t="shared" si="2"/>
        <v>125</v>
      </c>
      <c r="L32" s="8">
        <f t="shared" si="3"/>
        <v>4375</v>
      </c>
      <c r="M32" s="8">
        <f t="shared" si="4"/>
        <v>52500</v>
      </c>
      <c r="N32" s="22">
        <f t="shared" si="5"/>
        <v>0.2916666667</v>
      </c>
    </row>
    <row r="33">
      <c r="B33" s="5" t="s">
        <v>51</v>
      </c>
      <c r="C33" s="20">
        <v>1.0</v>
      </c>
      <c r="D33" s="20">
        <v>1.0</v>
      </c>
      <c r="E33" s="20">
        <v>15.0</v>
      </c>
      <c r="F33" s="9">
        <v>800.0</v>
      </c>
      <c r="G33" s="17">
        <f t="shared" si="1"/>
        <v>12000</v>
      </c>
      <c r="H33" s="21">
        <v>1.3</v>
      </c>
      <c r="I33" s="14">
        <v>1250.0</v>
      </c>
      <c r="J33" s="14">
        <v>1375.0</v>
      </c>
      <c r="K33" s="8">
        <f t="shared" si="2"/>
        <v>125</v>
      </c>
      <c r="L33" s="8">
        <f t="shared" si="3"/>
        <v>1875</v>
      </c>
      <c r="M33" s="8">
        <f t="shared" si="4"/>
        <v>22500</v>
      </c>
      <c r="N33" s="22">
        <f t="shared" si="5"/>
        <v>0.125</v>
      </c>
    </row>
    <row r="34">
      <c r="B34" s="5" t="s">
        <v>52</v>
      </c>
      <c r="C34" s="20">
        <v>2.0</v>
      </c>
      <c r="D34" s="20">
        <v>1.0</v>
      </c>
      <c r="E34" s="20">
        <v>25.0</v>
      </c>
      <c r="F34" s="9">
        <v>900.0</v>
      </c>
      <c r="G34" s="17">
        <f t="shared" si="1"/>
        <v>22500</v>
      </c>
      <c r="H34" s="21">
        <v>2.0</v>
      </c>
      <c r="I34" s="14">
        <v>1350.0</v>
      </c>
      <c r="J34" s="14">
        <v>1500.0</v>
      </c>
      <c r="K34" s="8">
        <f t="shared" si="2"/>
        <v>150</v>
      </c>
      <c r="L34" s="8">
        <f t="shared" si="3"/>
        <v>3750</v>
      </c>
      <c r="M34" s="8">
        <f t="shared" si="4"/>
        <v>45000</v>
      </c>
      <c r="N34" s="22">
        <f t="shared" si="5"/>
        <v>0.2083333333</v>
      </c>
    </row>
    <row r="35">
      <c r="B35" s="5" t="s">
        <v>53</v>
      </c>
      <c r="C35" s="20">
        <v>2.0</v>
      </c>
      <c r="D35" s="20">
        <v>2.0</v>
      </c>
      <c r="E35" s="20">
        <v>20.0</v>
      </c>
      <c r="F35" s="9">
        <v>1000.0</v>
      </c>
      <c r="G35" s="17">
        <f t="shared" si="1"/>
        <v>20000</v>
      </c>
      <c r="H35" s="21">
        <v>2.2</v>
      </c>
      <c r="I35" s="14">
        <v>1475.0</v>
      </c>
      <c r="J35" s="14">
        <v>1625.0</v>
      </c>
      <c r="K35" s="8">
        <f t="shared" si="2"/>
        <v>150</v>
      </c>
      <c r="L35" s="8">
        <f t="shared" si="3"/>
        <v>3000</v>
      </c>
      <c r="M35" s="8">
        <f t="shared" si="4"/>
        <v>36000</v>
      </c>
      <c r="N35" s="22">
        <f t="shared" si="5"/>
        <v>0.1666666667</v>
      </c>
    </row>
    <row r="36">
      <c r="B36" s="5" t="s">
        <v>54</v>
      </c>
      <c r="C36" s="20">
        <v>3.0</v>
      </c>
      <c r="D36" s="20">
        <v>2.0</v>
      </c>
      <c r="E36" s="20">
        <v>15.0</v>
      </c>
      <c r="F36" s="9">
        <v>1200.0</v>
      </c>
      <c r="G36" s="17">
        <f t="shared" si="1"/>
        <v>18000</v>
      </c>
      <c r="H36" s="21">
        <v>3.0</v>
      </c>
      <c r="I36" s="14">
        <v>1650.0</v>
      </c>
      <c r="J36" s="14">
        <v>1850.0</v>
      </c>
      <c r="K36" s="8">
        <f t="shared" si="2"/>
        <v>200</v>
      </c>
      <c r="L36" s="8">
        <f t="shared" si="3"/>
        <v>3000</v>
      </c>
      <c r="M36" s="8">
        <f t="shared" si="4"/>
        <v>36000</v>
      </c>
      <c r="N36" s="22">
        <f t="shared" si="5"/>
        <v>0.125</v>
      </c>
    </row>
    <row r="38">
      <c r="B38" s="23" t="s">
        <v>55</v>
      </c>
      <c r="C38" s="24"/>
      <c r="D38" s="24"/>
      <c r="E38" s="25">
        <f>SUM(E31:E36)</f>
        <v>120</v>
      </c>
      <c r="F38" s="24"/>
      <c r="G38" s="25">
        <f>SUM(G31:G36)</f>
        <v>102000</v>
      </c>
      <c r="H38" s="26">
        <f>SUMPRODUCT(E31:E36,H31:H36)/E38</f>
        <v>1.754166667</v>
      </c>
      <c r="I38" s="27">
        <f>SUMPRODUCT(E31:E36,I31:I36)/E38</f>
        <v>1304.166667</v>
      </c>
      <c r="J38" s="27">
        <f>SUMPRODUCT(E31:E36,J31:J36)/E38</f>
        <v>1445.833333</v>
      </c>
      <c r="K38" s="27">
        <f>J38-I38</f>
        <v>141.6666667</v>
      </c>
      <c r="L38" s="27">
        <f t="shared" ref="L38:N38" si="6">SUM(L31:L36)</f>
        <v>17000</v>
      </c>
      <c r="M38" s="27">
        <f t="shared" si="6"/>
        <v>204000</v>
      </c>
      <c r="N38" s="28">
        <f t="shared" si="6"/>
        <v>1</v>
      </c>
    </row>
    <row r="40">
      <c r="B40" s="3" t="s">
        <v>56</v>
      </c>
      <c r="C40" s="4"/>
      <c r="D40" s="4"/>
      <c r="E40" s="4"/>
      <c r="F40" s="4"/>
    </row>
    <row r="41">
      <c r="B41" s="5" t="s">
        <v>57</v>
      </c>
      <c r="D41" s="29">
        <v>0.93</v>
      </c>
    </row>
    <row r="42">
      <c r="B42" s="5" t="s">
        <v>58</v>
      </c>
      <c r="D42" s="14">
        <v>50.0</v>
      </c>
    </row>
    <row r="43">
      <c r="B43" s="5" t="s">
        <v>59</v>
      </c>
      <c r="D43" s="29">
        <v>0.015</v>
      </c>
    </row>
    <row r="44">
      <c r="B44" s="5" t="s">
        <v>60</v>
      </c>
      <c r="D44" s="14">
        <v>100.0</v>
      </c>
    </row>
    <row r="46">
      <c r="B46" s="3" t="s">
        <v>61</v>
      </c>
      <c r="C46" s="4"/>
      <c r="D46" s="4"/>
      <c r="E46" s="4"/>
      <c r="F46" s="4"/>
    </row>
    <row r="47">
      <c r="B47" s="5" t="s">
        <v>62</v>
      </c>
      <c r="D47" s="8">
        <f>SUMPRODUCT(E31:E36,J31:J36)*12</f>
        <v>2082000</v>
      </c>
    </row>
    <row r="48">
      <c r="B48" s="5" t="s">
        <v>63</v>
      </c>
      <c r="D48" s="8">
        <f>-D47*(1-D41)</f>
        <v>-145740</v>
      </c>
    </row>
    <row r="49">
      <c r="B49" s="5" t="s">
        <v>64</v>
      </c>
      <c r="D49" s="8">
        <f>-M38*D41</f>
        <v>-189720</v>
      </c>
    </row>
    <row r="50">
      <c r="B50" s="5" t="s">
        <v>65</v>
      </c>
      <c r="D50" s="8">
        <f>-D47*D41*D43</f>
        <v>-29043.9</v>
      </c>
    </row>
    <row r="51">
      <c r="B51" s="5" t="s">
        <v>66</v>
      </c>
      <c r="D51" s="8">
        <f>-D44*E38</f>
        <v>-12000</v>
      </c>
    </row>
    <row r="52">
      <c r="B52" s="5" t="s">
        <v>67</v>
      </c>
      <c r="D52" s="8">
        <f>D42*E38*12</f>
        <v>72000</v>
      </c>
    </row>
    <row r="53">
      <c r="B53" s="23" t="s">
        <v>68</v>
      </c>
      <c r="C53" s="24"/>
      <c r="D53" s="27">
        <f>SUM(D47:D52)</f>
        <v>1777496.1</v>
      </c>
    </row>
    <row r="56">
      <c r="B56" s="1" t="s">
        <v>69</v>
      </c>
      <c r="C56" s="2"/>
      <c r="D56" s="2"/>
      <c r="E56" s="2"/>
      <c r="F56" s="2"/>
      <c r="G56" s="2"/>
      <c r="H56" s="2"/>
    </row>
    <row r="58">
      <c r="B58" s="19" t="s">
        <v>70</v>
      </c>
      <c r="C58" s="30"/>
      <c r="D58" s="19" t="s">
        <v>71</v>
      </c>
      <c r="E58" s="19" t="s">
        <v>72</v>
      </c>
      <c r="F58" s="19" t="s">
        <v>73</v>
      </c>
      <c r="G58" s="19" t="s">
        <v>74</v>
      </c>
    </row>
    <row r="59">
      <c r="B59" s="31" t="s">
        <v>75</v>
      </c>
      <c r="C59" s="32"/>
      <c r="D59" s="32"/>
      <c r="E59" s="32"/>
      <c r="F59" s="32"/>
      <c r="G59" s="32"/>
    </row>
    <row r="60">
      <c r="B60" s="5" t="s">
        <v>76</v>
      </c>
      <c r="D60" s="14">
        <v>180000.0</v>
      </c>
      <c r="E60" s="8">
        <f t="shared" ref="E60:E62" si="7">D60/$D$8</f>
        <v>1500</v>
      </c>
      <c r="F60" s="22">
        <f t="shared" ref="F60:F62" si="8">D60/$D$53</f>
        <v>0.101266045</v>
      </c>
      <c r="G60" s="29">
        <v>0.03</v>
      </c>
    </row>
    <row r="61">
      <c r="B61" s="5" t="s">
        <v>77</v>
      </c>
      <c r="D61" s="14">
        <v>48000.0</v>
      </c>
      <c r="E61" s="8">
        <f t="shared" si="7"/>
        <v>400</v>
      </c>
      <c r="F61" s="22">
        <f t="shared" si="8"/>
        <v>0.02700427866</v>
      </c>
      <c r="G61" s="29">
        <v>0.04</v>
      </c>
    </row>
    <row r="62">
      <c r="B62" s="33" t="s">
        <v>78</v>
      </c>
      <c r="C62" s="34"/>
      <c r="D62" s="35">
        <f>SUM(D60:D61)</f>
        <v>228000</v>
      </c>
      <c r="E62" s="35">
        <f t="shared" si="7"/>
        <v>1900</v>
      </c>
      <c r="F62" s="36">
        <f t="shared" si="8"/>
        <v>0.1282703236</v>
      </c>
      <c r="G62" s="34"/>
    </row>
    <row r="63">
      <c r="B63" s="31" t="s">
        <v>79</v>
      </c>
      <c r="C63" s="32"/>
      <c r="D63" s="32"/>
      <c r="E63" s="32"/>
      <c r="F63" s="32"/>
      <c r="G63" s="32"/>
    </row>
    <row r="64">
      <c r="B64" s="5" t="s">
        <v>80</v>
      </c>
      <c r="D64" s="14">
        <v>72000.0</v>
      </c>
      <c r="E64" s="8">
        <f t="shared" ref="E64:E71" si="9">D64/$D$8</f>
        <v>600</v>
      </c>
      <c r="F64" s="22">
        <f t="shared" ref="F64:F71" si="10">D64/$D$53</f>
        <v>0.04050641799</v>
      </c>
      <c r="G64" s="29">
        <v>0.03</v>
      </c>
    </row>
    <row r="65">
      <c r="B65" s="5" t="s">
        <v>81</v>
      </c>
      <c r="D65" s="14">
        <v>36000.0</v>
      </c>
      <c r="E65" s="8">
        <f t="shared" si="9"/>
        <v>300</v>
      </c>
      <c r="F65" s="22">
        <f t="shared" si="10"/>
        <v>0.02025320899</v>
      </c>
      <c r="G65" s="29">
        <v>0.025</v>
      </c>
    </row>
    <row r="66">
      <c r="B66" s="5" t="s">
        <v>82</v>
      </c>
      <c r="D66" s="14">
        <v>18000.0</v>
      </c>
      <c r="E66" s="8">
        <f t="shared" si="9"/>
        <v>150</v>
      </c>
      <c r="F66" s="22">
        <f t="shared" si="10"/>
        <v>0.0101266045</v>
      </c>
      <c r="G66" s="29">
        <v>0.025</v>
      </c>
    </row>
    <row r="67">
      <c r="B67" s="5" t="s">
        <v>83</v>
      </c>
      <c r="D67" s="14">
        <v>24000.0</v>
      </c>
      <c r="E67" s="8">
        <f t="shared" si="9"/>
        <v>200</v>
      </c>
      <c r="F67" s="22">
        <f t="shared" si="10"/>
        <v>0.01350213933</v>
      </c>
      <c r="G67" s="29">
        <v>0.03</v>
      </c>
    </row>
    <row r="68">
      <c r="B68" s="5" t="s">
        <v>84</v>
      </c>
      <c r="D68" s="14">
        <v>6000.0</v>
      </c>
      <c r="E68" s="8">
        <f t="shared" si="9"/>
        <v>50</v>
      </c>
      <c r="F68" s="22">
        <f t="shared" si="10"/>
        <v>0.003375534832</v>
      </c>
      <c r="G68" s="29">
        <v>0.02</v>
      </c>
    </row>
    <row r="69">
      <c r="B69" s="5" t="s">
        <v>85</v>
      </c>
      <c r="D69" s="14">
        <v>12000.0</v>
      </c>
      <c r="E69" s="8">
        <f t="shared" si="9"/>
        <v>100</v>
      </c>
      <c r="F69" s="22">
        <f t="shared" si="10"/>
        <v>0.006751069665</v>
      </c>
      <c r="G69" s="29">
        <v>0.02</v>
      </c>
    </row>
    <row r="70">
      <c r="B70" s="5" t="s">
        <v>86</v>
      </c>
      <c r="D70" s="14">
        <v>4800.0</v>
      </c>
      <c r="E70" s="8">
        <f t="shared" si="9"/>
        <v>40</v>
      </c>
      <c r="F70" s="22">
        <f t="shared" si="10"/>
        <v>0.002700427866</v>
      </c>
      <c r="G70" s="29">
        <v>0.02</v>
      </c>
    </row>
    <row r="71">
      <c r="B71" s="33" t="s">
        <v>87</v>
      </c>
      <c r="C71" s="34"/>
      <c r="D71" s="35">
        <f>SUM(D64:D70)</f>
        <v>172800</v>
      </c>
      <c r="E71" s="35">
        <f t="shared" si="9"/>
        <v>1440</v>
      </c>
      <c r="F71" s="36">
        <f t="shared" si="10"/>
        <v>0.09721540317</v>
      </c>
      <c r="G71" s="34"/>
    </row>
    <row r="72">
      <c r="B72" s="31" t="s">
        <v>88</v>
      </c>
      <c r="C72" s="32"/>
      <c r="D72" s="32"/>
      <c r="E72" s="32"/>
      <c r="F72" s="32"/>
      <c r="G72" s="32"/>
    </row>
    <row r="73">
      <c r="B73" s="5" t="s">
        <v>89</v>
      </c>
      <c r="D73" s="14">
        <v>65000.0</v>
      </c>
      <c r="E73" s="8">
        <f t="shared" ref="E73:E77" si="11">D73/$D$8</f>
        <v>541.6666667</v>
      </c>
      <c r="F73" s="22">
        <f t="shared" ref="F73:F77" si="12">D73/$D$53</f>
        <v>0.03656829402</v>
      </c>
      <c r="G73" s="29">
        <v>0.03</v>
      </c>
    </row>
    <row r="74">
      <c r="B74" s="5" t="s">
        <v>90</v>
      </c>
      <c r="D74" s="14">
        <v>85000.0</v>
      </c>
      <c r="E74" s="8">
        <f t="shared" si="11"/>
        <v>708.3333333</v>
      </c>
      <c r="F74" s="22">
        <f t="shared" si="12"/>
        <v>0.04782007679</v>
      </c>
      <c r="G74" s="29">
        <v>0.03</v>
      </c>
    </row>
    <row r="75">
      <c r="B75" s="5" t="s">
        <v>91</v>
      </c>
      <c r="D75" s="14">
        <v>45000.0</v>
      </c>
      <c r="E75" s="8">
        <f t="shared" si="11"/>
        <v>375</v>
      </c>
      <c r="F75" s="22">
        <f t="shared" si="12"/>
        <v>0.02531651124</v>
      </c>
      <c r="G75" s="29">
        <v>0.03</v>
      </c>
    </row>
    <row r="76">
      <c r="B76" s="5" t="s">
        <v>92</v>
      </c>
      <c r="D76" s="14">
        <v>39000.0</v>
      </c>
      <c r="E76" s="8">
        <f t="shared" si="11"/>
        <v>325</v>
      </c>
      <c r="F76" s="22">
        <f t="shared" si="12"/>
        <v>0.02194097641</v>
      </c>
      <c r="G76" s="29">
        <v>0.03</v>
      </c>
    </row>
    <row r="77">
      <c r="B77" s="33" t="s">
        <v>93</v>
      </c>
      <c r="C77" s="34"/>
      <c r="D77" s="35">
        <f>SUM(D73:D76)</f>
        <v>234000</v>
      </c>
      <c r="E77" s="35">
        <f t="shared" si="11"/>
        <v>1950</v>
      </c>
      <c r="F77" s="36">
        <f t="shared" si="12"/>
        <v>0.1316458585</v>
      </c>
      <c r="G77" s="34"/>
    </row>
    <row r="78">
      <c r="B78" s="31" t="s">
        <v>94</v>
      </c>
      <c r="C78" s="32"/>
      <c r="D78" s="32"/>
      <c r="E78" s="32"/>
      <c r="F78" s="32"/>
      <c r="G78" s="32"/>
    </row>
    <row r="79">
      <c r="B79" s="5" t="s">
        <v>95</v>
      </c>
      <c r="D79" s="14">
        <v>36000.0</v>
      </c>
      <c r="E79" s="8">
        <f t="shared" ref="E79:E85" si="13">D79/$D$8</f>
        <v>300</v>
      </c>
      <c r="F79" s="22">
        <f t="shared" ref="F79:F85" si="14">D79/$D$53</f>
        <v>0.02025320899</v>
      </c>
      <c r="G79" s="29">
        <v>0.025</v>
      </c>
    </row>
    <row r="80">
      <c r="B80" s="5" t="s">
        <v>96</v>
      </c>
      <c r="D80" s="14">
        <v>18000.0</v>
      </c>
      <c r="E80" s="8">
        <f t="shared" si="13"/>
        <v>150</v>
      </c>
      <c r="F80" s="22">
        <f t="shared" si="14"/>
        <v>0.0101266045</v>
      </c>
      <c r="G80" s="29">
        <v>0.025</v>
      </c>
    </row>
    <row r="81">
      <c r="B81" s="5" t="s">
        <v>97</v>
      </c>
      <c r="D81" s="14">
        <v>12000.0</v>
      </c>
      <c r="E81" s="8">
        <f t="shared" si="13"/>
        <v>100</v>
      </c>
      <c r="F81" s="22">
        <f t="shared" si="14"/>
        <v>0.006751069665</v>
      </c>
      <c r="G81" s="29">
        <v>0.025</v>
      </c>
    </row>
    <row r="82">
      <c r="B82" s="5" t="s">
        <v>98</v>
      </c>
      <c r="D82" s="14">
        <v>9000.0</v>
      </c>
      <c r="E82" s="8">
        <f t="shared" si="13"/>
        <v>75</v>
      </c>
      <c r="F82" s="22">
        <f t="shared" si="14"/>
        <v>0.005063302249</v>
      </c>
      <c r="G82" s="29">
        <v>0.025</v>
      </c>
    </row>
    <row r="83">
      <c r="B83" s="5" t="s">
        <v>99</v>
      </c>
      <c r="D83" s="14">
        <v>9600.0</v>
      </c>
      <c r="E83" s="8">
        <f t="shared" si="13"/>
        <v>80</v>
      </c>
      <c r="F83" s="22">
        <f t="shared" si="14"/>
        <v>0.005400855732</v>
      </c>
      <c r="G83" s="29">
        <v>0.025</v>
      </c>
    </row>
    <row r="84">
      <c r="B84" s="5" t="s">
        <v>100</v>
      </c>
      <c r="D84" s="14">
        <v>30000.0</v>
      </c>
      <c r="E84" s="8">
        <f t="shared" si="13"/>
        <v>250</v>
      </c>
      <c r="F84" s="22">
        <f t="shared" si="14"/>
        <v>0.01687767416</v>
      </c>
      <c r="G84" s="29">
        <v>0.025</v>
      </c>
    </row>
    <row r="85">
      <c r="B85" s="33" t="s">
        <v>101</v>
      </c>
      <c r="C85" s="34"/>
      <c r="D85" s="35">
        <f>SUM(D79:D84)</f>
        <v>114600</v>
      </c>
      <c r="E85" s="35">
        <f t="shared" si="13"/>
        <v>955</v>
      </c>
      <c r="F85" s="36">
        <f t="shared" si="14"/>
        <v>0.0644727153</v>
      </c>
      <c r="G85" s="34"/>
    </row>
    <row r="86">
      <c r="B86" s="31" t="s">
        <v>102</v>
      </c>
      <c r="C86" s="32"/>
      <c r="D86" s="32"/>
      <c r="E86" s="32"/>
      <c r="F86" s="32"/>
      <c r="G86" s="32"/>
    </row>
    <row r="87">
      <c r="B87" s="5" t="s">
        <v>103</v>
      </c>
      <c r="D87" s="14">
        <v>18000.0</v>
      </c>
      <c r="E87" s="8">
        <f t="shared" ref="E87:E92" si="15">D87/$D$8</f>
        <v>150</v>
      </c>
      <c r="F87" s="22">
        <f t="shared" ref="F87:F92" si="16">D87/$D$53</f>
        <v>0.0101266045</v>
      </c>
      <c r="G87" s="29">
        <v>0.02</v>
      </c>
    </row>
    <row r="88">
      <c r="B88" s="5" t="s">
        <v>104</v>
      </c>
      <c r="D88" s="14">
        <v>12000.0</v>
      </c>
      <c r="E88" s="8">
        <f t="shared" si="15"/>
        <v>100</v>
      </c>
      <c r="F88" s="22">
        <f t="shared" si="16"/>
        <v>0.006751069665</v>
      </c>
      <c r="G88" s="29">
        <v>0.02</v>
      </c>
    </row>
    <row r="89">
      <c r="B89" s="5" t="s">
        <v>105</v>
      </c>
      <c r="D89" s="14">
        <v>3600.0</v>
      </c>
      <c r="E89" s="8">
        <f t="shared" si="15"/>
        <v>30</v>
      </c>
      <c r="F89" s="22">
        <f t="shared" si="16"/>
        <v>0.002025320899</v>
      </c>
      <c r="G89" s="29">
        <v>0.02</v>
      </c>
    </row>
    <row r="90">
      <c r="B90" s="5" t="s">
        <v>106</v>
      </c>
      <c r="D90" s="14">
        <v>4800.0</v>
      </c>
      <c r="E90" s="8">
        <f t="shared" si="15"/>
        <v>40</v>
      </c>
      <c r="F90" s="22">
        <f t="shared" si="16"/>
        <v>0.002700427866</v>
      </c>
      <c r="G90" s="29">
        <v>0.02</v>
      </c>
    </row>
    <row r="91">
      <c r="B91" s="5" t="s">
        <v>107</v>
      </c>
      <c r="D91" s="14">
        <v>3000.0</v>
      </c>
      <c r="E91" s="8">
        <f t="shared" si="15"/>
        <v>25</v>
      </c>
      <c r="F91" s="22">
        <f t="shared" si="16"/>
        <v>0.001687767416</v>
      </c>
      <c r="G91" s="29">
        <v>0.02</v>
      </c>
    </row>
    <row r="92">
      <c r="B92" s="33" t="s">
        <v>108</v>
      </c>
      <c r="C92" s="34"/>
      <c r="D92" s="35">
        <f>SUM(D87:D91)</f>
        <v>41400</v>
      </c>
      <c r="E92" s="35">
        <f t="shared" si="15"/>
        <v>345</v>
      </c>
      <c r="F92" s="36">
        <f t="shared" si="16"/>
        <v>0.02329119034</v>
      </c>
      <c r="G92" s="34"/>
    </row>
    <row r="93">
      <c r="B93" s="31" t="s">
        <v>109</v>
      </c>
      <c r="C93" s="32"/>
      <c r="D93" s="32"/>
      <c r="E93" s="32"/>
      <c r="F93" s="32"/>
      <c r="G93" s="32"/>
    </row>
    <row r="94">
      <c r="B94" s="5" t="s">
        <v>110</v>
      </c>
      <c r="D94" s="14">
        <v>24000.0</v>
      </c>
      <c r="E94" s="8">
        <f t="shared" ref="E94:E98" si="17">D94/$D$8</f>
        <v>200</v>
      </c>
      <c r="F94" s="22">
        <f t="shared" ref="F94:F98" si="18">D94/$D$53</f>
        <v>0.01350213933</v>
      </c>
      <c r="G94" s="29">
        <v>0.025</v>
      </c>
    </row>
    <row r="95">
      <c r="B95" s="5" t="s">
        <v>111</v>
      </c>
      <c r="D95" s="14">
        <v>9600.0</v>
      </c>
      <c r="E95" s="8">
        <f t="shared" si="17"/>
        <v>80</v>
      </c>
      <c r="F95" s="22">
        <f t="shared" si="18"/>
        <v>0.005400855732</v>
      </c>
      <c r="G95" s="29">
        <v>0.025</v>
      </c>
    </row>
    <row r="96">
      <c r="B96" s="5" t="s">
        <v>112</v>
      </c>
      <c r="D96" s="14">
        <v>6000.0</v>
      </c>
      <c r="E96" s="8">
        <f t="shared" si="17"/>
        <v>50</v>
      </c>
      <c r="F96" s="22">
        <f t="shared" si="18"/>
        <v>0.003375534832</v>
      </c>
      <c r="G96" s="29">
        <v>0.03</v>
      </c>
    </row>
    <row r="97">
      <c r="B97" s="5" t="s">
        <v>113</v>
      </c>
      <c r="D97" s="14">
        <v>4800.0</v>
      </c>
      <c r="E97" s="8">
        <f t="shared" si="17"/>
        <v>40</v>
      </c>
      <c r="F97" s="22">
        <f t="shared" si="18"/>
        <v>0.002700427866</v>
      </c>
      <c r="G97" s="29">
        <v>0.025</v>
      </c>
    </row>
    <row r="98">
      <c r="B98" s="33" t="s">
        <v>114</v>
      </c>
      <c r="C98" s="34"/>
      <c r="D98" s="35">
        <f>SUM(D94:D97)</f>
        <v>44400</v>
      </c>
      <c r="E98" s="35">
        <f t="shared" si="17"/>
        <v>370</v>
      </c>
      <c r="F98" s="36">
        <f t="shared" si="18"/>
        <v>0.02497895776</v>
      </c>
      <c r="G98" s="34"/>
    </row>
    <row r="99">
      <c r="B99" s="31" t="s">
        <v>115</v>
      </c>
      <c r="C99" s="32"/>
      <c r="D99" s="32"/>
      <c r="E99" s="32"/>
      <c r="F99" s="32"/>
      <c r="G99" s="32"/>
    </row>
    <row r="100">
      <c r="B100" s="5" t="s">
        <v>116</v>
      </c>
      <c r="D100" s="8">
        <f>D53*0.04</f>
        <v>71099.844</v>
      </c>
      <c r="E100" s="8">
        <f t="shared" ref="E100:E101" si="19">D100/$D$8</f>
        <v>592.4987</v>
      </c>
      <c r="F100" s="22">
        <f t="shared" ref="F100:F101" si="20">D100/$D$53</f>
        <v>0.04</v>
      </c>
      <c r="G100" s="29">
        <v>0.0</v>
      </c>
    </row>
    <row r="101">
      <c r="B101" s="5" t="s">
        <v>117</v>
      </c>
      <c r="D101" s="14">
        <v>30000.0</v>
      </c>
      <c r="E101" s="8">
        <f t="shared" si="19"/>
        <v>250</v>
      </c>
      <c r="F101" s="22">
        <f t="shared" si="20"/>
        <v>0.01687767416</v>
      </c>
      <c r="G101" s="29">
        <v>0.025</v>
      </c>
    </row>
    <row r="103">
      <c r="B103" s="37" t="s">
        <v>118</v>
      </c>
      <c r="C103" s="38"/>
      <c r="D103" s="39">
        <f>D62+D71+D77+D85+D92+D98+D100+D101</f>
        <v>936299.844</v>
      </c>
      <c r="E103" s="39">
        <f>D103/$D$8</f>
        <v>7802.4987</v>
      </c>
      <c r="F103" s="40">
        <f>D103/$D$53</f>
        <v>0.5267521228</v>
      </c>
      <c r="G103" s="38"/>
    </row>
    <row r="106">
      <c r="B106" s="1" t="s">
        <v>119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8">
      <c r="B108" s="3" t="s">
        <v>120</v>
      </c>
      <c r="C108" s="4"/>
      <c r="D108" s="4"/>
      <c r="E108" s="4"/>
      <c r="F108" s="4"/>
      <c r="G108" s="4"/>
      <c r="H108" s="4"/>
    </row>
    <row r="109">
      <c r="B109" s="41" t="s">
        <v>36</v>
      </c>
      <c r="C109" s="41" t="s">
        <v>39</v>
      </c>
      <c r="D109" s="41" t="s">
        <v>41</v>
      </c>
      <c r="E109" s="41" t="s">
        <v>121</v>
      </c>
      <c r="F109" s="41" t="s">
        <v>122</v>
      </c>
      <c r="G109" s="41" t="s">
        <v>123</v>
      </c>
    </row>
    <row r="110">
      <c r="B110" s="5" t="s">
        <v>49</v>
      </c>
      <c r="C110" s="17">
        <f t="shared" ref="C110:C115" si="21">E31</f>
        <v>10</v>
      </c>
      <c r="D110" s="17">
        <f t="shared" ref="D110:D115" si="22">G31</f>
        <v>5000</v>
      </c>
      <c r="E110" s="17">
        <f t="shared" ref="E110:E115" si="23">C31*E31</f>
        <v>0</v>
      </c>
      <c r="F110" s="42">
        <f t="shared" ref="F110:F115" si="24">H31*E31</f>
        <v>10</v>
      </c>
      <c r="G110" s="17">
        <f t="shared" ref="G110:G115" si="25">C110</f>
        <v>10</v>
      </c>
    </row>
    <row r="111">
      <c r="B111" s="5" t="s">
        <v>50</v>
      </c>
      <c r="C111" s="17">
        <f t="shared" si="21"/>
        <v>35</v>
      </c>
      <c r="D111" s="17">
        <f t="shared" si="22"/>
        <v>24500</v>
      </c>
      <c r="E111" s="17">
        <f t="shared" si="23"/>
        <v>35</v>
      </c>
      <c r="F111" s="42">
        <f t="shared" si="24"/>
        <v>42</v>
      </c>
      <c r="G111" s="17">
        <f t="shared" si="25"/>
        <v>35</v>
      </c>
    </row>
    <row r="112">
      <c r="B112" s="5" t="s">
        <v>51</v>
      </c>
      <c r="C112" s="17">
        <f t="shared" si="21"/>
        <v>15</v>
      </c>
      <c r="D112" s="17">
        <f t="shared" si="22"/>
        <v>12000</v>
      </c>
      <c r="E112" s="17">
        <f t="shared" si="23"/>
        <v>15</v>
      </c>
      <c r="F112" s="42">
        <f t="shared" si="24"/>
        <v>19.5</v>
      </c>
      <c r="G112" s="17">
        <f t="shared" si="25"/>
        <v>15</v>
      </c>
    </row>
    <row r="113">
      <c r="B113" s="5" t="s">
        <v>52</v>
      </c>
      <c r="C113" s="17">
        <f t="shared" si="21"/>
        <v>25</v>
      </c>
      <c r="D113" s="17">
        <f t="shared" si="22"/>
        <v>22500</v>
      </c>
      <c r="E113" s="17">
        <f t="shared" si="23"/>
        <v>50</v>
      </c>
      <c r="F113" s="42">
        <f t="shared" si="24"/>
        <v>50</v>
      </c>
      <c r="G113" s="17">
        <f t="shared" si="25"/>
        <v>25</v>
      </c>
    </row>
    <row r="114">
      <c r="B114" s="5" t="s">
        <v>53</v>
      </c>
      <c r="C114" s="17">
        <f t="shared" si="21"/>
        <v>20</v>
      </c>
      <c r="D114" s="17">
        <f t="shared" si="22"/>
        <v>20000</v>
      </c>
      <c r="E114" s="17">
        <f t="shared" si="23"/>
        <v>40</v>
      </c>
      <c r="F114" s="42">
        <f t="shared" si="24"/>
        <v>44</v>
      </c>
      <c r="G114" s="17">
        <f t="shared" si="25"/>
        <v>20</v>
      </c>
    </row>
    <row r="115">
      <c r="B115" s="5" t="s">
        <v>54</v>
      </c>
      <c r="C115" s="17">
        <f t="shared" si="21"/>
        <v>15</v>
      </c>
      <c r="D115" s="17">
        <f t="shared" si="22"/>
        <v>18000</v>
      </c>
      <c r="E115" s="17">
        <f t="shared" si="23"/>
        <v>45</v>
      </c>
      <c r="F115" s="42">
        <f t="shared" si="24"/>
        <v>45</v>
      </c>
      <c r="G115" s="17">
        <f t="shared" si="25"/>
        <v>15</v>
      </c>
    </row>
    <row r="116">
      <c r="B116" s="23" t="s">
        <v>124</v>
      </c>
      <c r="C116" s="25">
        <f t="shared" ref="C116:G116" si="26">SUM(C110:C115)</f>
        <v>120</v>
      </c>
      <c r="D116" s="25">
        <f t="shared" si="26"/>
        <v>102000</v>
      </c>
      <c r="E116" s="25">
        <f t="shared" si="26"/>
        <v>185</v>
      </c>
      <c r="F116" s="26">
        <f t="shared" si="26"/>
        <v>210.5</v>
      </c>
      <c r="G116" s="25">
        <f t="shared" si="26"/>
        <v>120</v>
      </c>
    </row>
    <row r="118">
      <c r="B118" s="3" t="s">
        <v>125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>
      <c r="B119" s="41" t="s">
        <v>126</v>
      </c>
      <c r="C119" s="41" t="s">
        <v>127</v>
      </c>
      <c r="D119" s="41" t="s">
        <v>128</v>
      </c>
      <c r="E119" s="41" t="s">
        <v>129</v>
      </c>
      <c r="F119" s="41" t="s">
        <v>130</v>
      </c>
      <c r="G119" s="41" t="s">
        <v>131</v>
      </c>
      <c r="H119" s="41" t="s">
        <v>132</v>
      </c>
    </row>
    <row r="120">
      <c r="B120" s="5" t="s">
        <v>80</v>
      </c>
      <c r="C120" s="14">
        <v>6000.0</v>
      </c>
      <c r="D120" s="6" t="s">
        <v>133</v>
      </c>
      <c r="E120" s="43">
        <v>0.85</v>
      </c>
      <c r="F120" s="8">
        <f t="shared" ref="F120:F126" si="27">C120*E120</f>
        <v>5100</v>
      </c>
      <c r="G120" s="8">
        <f t="shared" ref="G120:G126" si="28">F120*12</f>
        <v>61200</v>
      </c>
      <c r="H120" s="8">
        <f t="shared" ref="H120:H126" si="29">C120*12-G120</f>
        <v>10800</v>
      </c>
    </row>
    <row r="121">
      <c r="B121" s="5" t="s">
        <v>81</v>
      </c>
      <c r="C121" s="14">
        <v>3000.0</v>
      </c>
      <c r="D121" s="6" t="s">
        <v>134</v>
      </c>
      <c r="E121" s="43">
        <v>0.7</v>
      </c>
      <c r="F121" s="8">
        <f t="shared" si="27"/>
        <v>2100</v>
      </c>
      <c r="G121" s="8">
        <f t="shared" si="28"/>
        <v>25200</v>
      </c>
      <c r="H121" s="8">
        <f t="shared" si="29"/>
        <v>10800</v>
      </c>
    </row>
    <row r="122">
      <c r="B122" s="5" t="s">
        <v>135</v>
      </c>
      <c r="C122" s="14">
        <v>1500.0</v>
      </c>
      <c r="D122" s="6" t="s">
        <v>134</v>
      </c>
      <c r="E122" s="43">
        <v>0.75</v>
      </c>
      <c r="F122" s="8">
        <f t="shared" si="27"/>
        <v>1125</v>
      </c>
      <c r="G122" s="8">
        <f t="shared" si="28"/>
        <v>13500</v>
      </c>
      <c r="H122" s="8">
        <f t="shared" si="29"/>
        <v>4500</v>
      </c>
    </row>
    <row r="123">
      <c r="B123" s="5" t="s">
        <v>136</v>
      </c>
      <c r="C123" s="14">
        <v>2000.0</v>
      </c>
      <c r="D123" s="6" t="s">
        <v>123</v>
      </c>
      <c r="E123" s="43">
        <v>0.9</v>
      </c>
      <c r="F123" s="8">
        <f t="shared" si="27"/>
        <v>1800</v>
      </c>
      <c r="G123" s="8">
        <f t="shared" si="28"/>
        <v>21600</v>
      </c>
      <c r="H123" s="8">
        <f t="shared" si="29"/>
        <v>2400</v>
      </c>
    </row>
    <row r="124">
      <c r="B124" s="5" t="s">
        <v>84</v>
      </c>
      <c r="C124" s="14">
        <v>500.0</v>
      </c>
      <c r="D124" s="6" t="s">
        <v>123</v>
      </c>
      <c r="E124" s="43">
        <v>0.8</v>
      </c>
      <c r="F124" s="8">
        <f t="shared" si="27"/>
        <v>400</v>
      </c>
      <c r="G124" s="8">
        <f t="shared" si="28"/>
        <v>4800</v>
      </c>
      <c r="H124" s="8">
        <f t="shared" si="29"/>
        <v>1200</v>
      </c>
    </row>
    <row r="125">
      <c r="B125" s="5" t="s">
        <v>85</v>
      </c>
      <c r="C125" s="14">
        <v>1000.0</v>
      </c>
      <c r="D125" s="6" t="s">
        <v>123</v>
      </c>
      <c r="E125" s="43">
        <v>0.6</v>
      </c>
      <c r="F125" s="8">
        <f t="shared" si="27"/>
        <v>600</v>
      </c>
      <c r="G125" s="8">
        <f t="shared" si="28"/>
        <v>7200</v>
      </c>
      <c r="H125" s="8">
        <f t="shared" si="29"/>
        <v>4800</v>
      </c>
    </row>
    <row r="126">
      <c r="B126" s="5" t="s">
        <v>137</v>
      </c>
      <c r="C126" s="14">
        <v>400.0</v>
      </c>
      <c r="D126" s="6" t="s">
        <v>123</v>
      </c>
      <c r="E126" s="43">
        <v>0.95</v>
      </c>
      <c r="F126" s="8">
        <f t="shared" si="27"/>
        <v>380</v>
      </c>
      <c r="G126" s="8">
        <f t="shared" si="28"/>
        <v>4560</v>
      </c>
      <c r="H126" s="8">
        <f t="shared" si="29"/>
        <v>240</v>
      </c>
    </row>
    <row r="127">
      <c r="B127" s="23" t="s">
        <v>138</v>
      </c>
      <c r="C127" s="27">
        <f>SUM(C120:C126)</f>
        <v>14400</v>
      </c>
      <c r="D127" s="24"/>
      <c r="E127" s="24"/>
      <c r="F127" s="27">
        <f t="shared" ref="F127:H127" si="30">SUM(F120:F126)</f>
        <v>11505</v>
      </c>
      <c r="G127" s="27">
        <f t="shared" si="30"/>
        <v>138060</v>
      </c>
      <c r="H127" s="27">
        <f t="shared" si="30"/>
        <v>34740</v>
      </c>
    </row>
    <row r="129">
      <c r="B129" s="3" t="s">
        <v>139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>
      <c r="B130" s="41" t="s">
        <v>36</v>
      </c>
      <c r="C130" s="41" t="s">
        <v>140</v>
      </c>
      <c r="D130" s="41" t="s">
        <v>141</v>
      </c>
      <c r="E130" s="41" t="s">
        <v>135</v>
      </c>
      <c r="F130" s="41" t="s">
        <v>136</v>
      </c>
      <c r="G130" s="41" t="s">
        <v>142</v>
      </c>
      <c r="H130" s="41" t="s">
        <v>143</v>
      </c>
      <c r="I130" s="41" t="s">
        <v>144</v>
      </c>
      <c r="J130" s="41" t="s">
        <v>124</v>
      </c>
    </row>
    <row r="131">
      <c r="B131" s="5" t="s">
        <v>49</v>
      </c>
      <c r="C131" s="16">
        <f t="shared" ref="C131:C136" si="31">F$120*(F110/$F$116)/$C110</f>
        <v>24.2280285</v>
      </c>
      <c r="D131" s="16">
        <f t="shared" ref="D131:D136" si="32">F$121*(D110/$D$116)/$C110</f>
        <v>10.29411765</v>
      </c>
      <c r="E131" s="16">
        <f t="shared" ref="E131:E136" si="33">F$122*(D110/$D$116)/$C110</f>
        <v>5.514705882</v>
      </c>
      <c r="F131" s="16">
        <f t="shared" ref="F131:F136" si="34">F$123/$C$116</f>
        <v>15</v>
      </c>
      <c r="G131" s="16">
        <f t="shared" ref="G131:G136" si="35">F$124/$C$116</f>
        <v>3.333333333</v>
      </c>
      <c r="H131" s="16">
        <f t="shared" ref="H131:H136" si="36">F$125/$C$116</f>
        <v>5</v>
      </c>
      <c r="I131" s="16">
        <f t="shared" ref="I131:I136" si="37">F$126/$C$116</f>
        <v>3.166666667</v>
      </c>
      <c r="J131" s="16">
        <f t="shared" ref="J131:J137" si="38">SUM(C131:I131)</f>
        <v>66.53685203</v>
      </c>
    </row>
    <row r="132">
      <c r="B132" s="5" t="s">
        <v>50</v>
      </c>
      <c r="C132" s="16">
        <f t="shared" si="31"/>
        <v>29.0736342</v>
      </c>
      <c r="D132" s="16">
        <f t="shared" si="32"/>
        <v>14.41176471</v>
      </c>
      <c r="E132" s="16">
        <f t="shared" si="33"/>
        <v>7.720588235</v>
      </c>
      <c r="F132" s="16">
        <f t="shared" si="34"/>
        <v>15</v>
      </c>
      <c r="G132" s="16">
        <f t="shared" si="35"/>
        <v>3.333333333</v>
      </c>
      <c r="H132" s="16">
        <f t="shared" si="36"/>
        <v>5</v>
      </c>
      <c r="I132" s="16">
        <f t="shared" si="37"/>
        <v>3.166666667</v>
      </c>
      <c r="J132" s="16">
        <f t="shared" si="38"/>
        <v>77.70598715</v>
      </c>
    </row>
    <row r="133">
      <c r="B133" s="5" t="s">
        <v>51</v>
      </c>
      <c r="C133" s="16">
        <f t="shared" si="31"/>
        <v>31.49643705</v>
      </c>
      <c r="D133" s="16">
        <f t="shared" si="32"/>
        <v>16.47058824</v>
      </c>
      <c r="E133" s="16">
        <f t="shared" si="33"/>
        <v>8.823529412</v>
      </c>
      <c r="F133" s="16">
        <f t="shared" si="34"/>
        <v>15</v>
      </c>
      <c r="G133" s="16">
        <f t="shared" si="35"/>
        <v>3.333333333</v>
      </c>
      <c r="H133" s="16">
        <f t="shared" si="36"/>
        <v>5</v>
      </c>
      <c r="I133" s="16">
        <f t="shared" si="37"/>
        <v>3.166666667</v>
      </c>
      <c r="J133" s="16">
        <f t="shared" si="38"/>
        <v>83.2905547</v>
      </c>
    </row>
    <row r="134">
      <c r="B134" s="5" t="s">
        <v>52</v>
      </c>
      <c r="C134" s="16">
        <f t="shared" si="31"/>
        <v>48.45605701</v>
      </c>
      <c r="D134" s="16">
        <f t="shared" si="32"/>
        <v>18.52941176</v>
      </c>
      <c r="E134" s="16">
        <f t="shared" si="33"/>
        <v>9.926470588</v>
      </c>
      <c r="F134" s="16">
        <f t="shared" si="34"/>
        <v>15</v>
      </c>
      <c r="G134" s="16">
        <f t="shared" si="35"/>
        <v>3.333333333</v>
      </c>
      <c r="H134" s="16">
        <f t="shared" si="36"/>
        <v>5</v>
      </c>
      <c r="I134" s="16">
        <f t="shared" si="37"/>
        <v>3.166666667</v>
      </c>
      <c r="J134" s="16">
        <f t="shared" si="38"/>
        <v>103.4119394</v>
      </c>
    </row>
    <row r="135">
      <c r="B135" s="5" t="s">
        <v>53</v>
      </c>
      <c r="C135" s="16">
        <f t="shared" si="31"/>
        <v>53.30166271</v>
      </c>
      <c r="D135" s="16">
        <f t="shared" si="32"/>
        <v>20.58823529</v>
      </c>
      <c r="E135" s="16">
        <f t="shared" si="33"/>
        <v>11.02941176</v>
      </c>
      <c r="F135" s="16">
        <f t="shared" si="34"/>
        <v>15</v>
      </c>
      <c r="G135" s="16">
        <f t="shared" si="35"/>
        <v>3.333333333</v>
      </c>
      <c r="H135" s="16">
        <f t="shared" si="36"/>
        <v>5</v>
      </c>
      <c r="I135" s="16">
        <f t="shared" si="37"/>
        <v>3.166666667</v>
      </c>
      <c r="J135" s="16">
        <f t="shared" si="38"/>
        <v>111.4193098</v>
      </c>
    </row>
    <row r="136">
      <c r="B136" s="5" t="s">
        <v>54</v>
      </c>
      <c r="C136" s="16">
        <f t="shared" si="31"/>
        <v>72.68408551</v>
      </c>
      <c r="D136" s="16">
        <f t="shared" si="32"/>
        <v>24.70588235</v>
      </c>
      <c r="E136" s="16">
        <f t="shared" si="33"/>
        <v>13.23529412</v>
      </c>
      <c r="F136" s="16">
        <f t="shared" si="34"/>
        <v>15</v>
      </c>
      <c r="G136" s="16">
        <f t="shared" si="35"/>
        <v>3.333333333</v>
      </c>
      <c r="H136" s="16">
        <f t="shared" si="36"/>
        <v>5</v>
      </c>
      <c r="I136" s="16">
        <f t="shared" si="37"/>
        <v>3.166666667</v>
      </c>
      <c r="J136" s="16">
        <f t="shared" si="38"/>
        <v>137.125262</v>
      </c>
    </row>
    <row r="137">
      <c r="B137" s="23" t="s">
        <v>145</v>
      </c>
      <c r="C137" s="44">
        <f t="shared" ref="C137:I137" si="39">SUMPRODUCT(C131:C136,$C$110:$C$115)/$C$116</f>
        <v>42.5</v>
      </c>
      <c r="D137" s="44">
        <f t="shared" si="39"/>
        <v>17.5</v>
      </c>
      <c r="E137" s="44">
        <f t="shared" si="39"/>
        <v>9.375</v>
      </c>
      <c r="F137" s="44">
        <f t="shared" si="39"/>
        <v>15</v>
      </c>
      <c r="G137" s="44">
        <f t="shared" si="39"/>
        <v>3.333333333</v>
      </c>
      <c r="H137" s="44">
        <f t="shared" si="39"/>
        <v>5</v>
      </c>
      <c r="I137" s="44">
        <f t="shared" si="39"/>
        <v>3.166666667</v>
      </c>
      <c r="J137" s="44">
        <f t="shared" si="38"/>
        <v>95.875</v>
      </c>
    </row>
    <row r="139">
      <c r="B139" s="11" t="s">
        <v>146</v>
      </c>
      <c r="C139" s="12"/>
      <c r="D139" s="13">
        <f>G127</f>
        <v>138060</v>
      </c>
    </row>
    <row r="142">
      <c r="B142" s="1" t="s">
        <v>147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4">
      <c r="B144" s="3" t="s">
        <v>148</v>
      </c>
      <c r="C144" s="4"/>
      <c r="D144" s="4"/>
      <c r="E144" s="4"/>
      <c r="G144" s="3" t="s">
        <v>149</v>
      </c>
      <c r="H144" s="4"/>
      <c r="I144" s="4"/>
      <c r="J144" s="4"/>
      <c r="K144" s="4"/>
      <c r="L144" s="4"/>
      <c r="M144" s="4"/>
    </row>
    <row r="145">
      <c r="B145" s="41" t="s">
        <v>150</v>
      </c>
      <c r="C145" s="41" t="s">
        <v>72</v>
      </c>
      <c r="D145" s="41" t="s">
        <v>151</v>
      </c>
      <c r="E145" s="41" t="s">
        <v>152</v>
      </c>
      <c r="G145" s="5" t="s">
        <v>153</v>
      </c>
      <c r="I145" s="17">
        <f>$D$8</f>
        <v>120</v>
      </c>
    </row>
    <row r="146">
      <c r="B146" s="31" t="s">
        <v>154</v>
      </c>
      <c r="C146" s="32"/>
      <c r="D146" s="32"/>
      <c r="E146" s="32"/>
      <c r="G146" s="5" t="s">
        <v>155</v>
      </c>
      <c r="I146" s="9">
        <v>24.0</v>
      </c>
    </row>
    <row r="147">
      <c r="B147" s="5" t="s">
        <v>156</v>
      </c>
      <c r="C147" s="14">
        <v>5500.0</v>
      </c>
      <c r="D147" s="17">
        <f t="shared" ref="D147:D152" si="40">$D$8</f>
        <v>120</v>
      </c>
      <c r="E147" s="8">
        <f t="shared" ref="E147:E152" si="41">C147*D147</f>
        <v>660000</v>
      </c>
      <c r="G147" s="5" t="s">
        <v>157</v>
      </c>
      <c r="I147" s="17">
        <f>ROUND(I145/I146,0)</f>
        <v>5</v>
      </c>
    </row>
    <row r="148">
      <c r="B148" s="5" t="s">
        <v>158</v>
      </c>
      <c r="C148" s="14">
        <v>2500.0</v>
      </c>
      <c r="D148" s="17">
        <f t="shared" si="40"/>
        <v>120</v>
      </c>
      <c r="E148" s="8">
        <f t="shared" si="41"/>
        <v>300000</v>
      </c>
      <c r="G148" s="5" t="s">
        <v>159</v>
      </c>
      <c r="I148" s="14">
        <v>200.0</v>
      </c>
    </row>
    <row r="149">
      <c r="B149" s="5" t="s">
        <v>160</v>
      </c>
      <c r="C149" s="14">
        <v>2000.0</v>
      </c>
      <c r="D149" s="17">
        <f t="shared" si="40"/>
        <v>120</v>
      </c>
      <c r="E149" s="8">
        <f t="shared" si="41"/>
        <v>240000</v>
      </c>
      <c r="G149" s="5" t="s">
        <v>161</v>
      </c>
      <c r="I149" s="9">
        <v>3.0</v>
      </c>
    </row>
    <row r="150">
      <c r="B150" s="5" t="s">
        <v>162</v>
      </c>
      <c r="C150" s="14">
        <v>800.0</v>
      </c>
      <c r="D150" s="17">
        <f t="shared" si="40"/>
        <v>120</v>
      </c>
      <c r="E150" s="8">
        <f t="shared" si="41"/>
        <v>96000</v>
      </c>
    </row>
    <row r="151">
      <c r="B151" s="5" t="s">
        <v>163</v>
      </c>
      <c r="C151" s="14">
        <v>600.0</v>
      </c>
      <c r="D151" s="17">
        <f t="shared" si="40"/>
        <v>120</v>
      </c>
      <c r="E151" s="8">
        <f t="shared" si="41"/>
        <v>72000</v>
      </c>
      <c r="G151" s="23" t="s">
        <v>164</v>
      </c>
      <c r="H151" s="24"/>
      <c r="I151" s="24"/>
      <c r="J151" s="24"/>
      <c r="K151" s="24"/>
      <c r="L151" s="24"/>
      <c r="M151" s="24"/>
    </row>
    <row r="152">
      <c r="B152" s="5" t="s">
        <v>165</v>
      </c>
      <c r="C152" s="14">
        <v>400.0</v>
      </c>
      <c r="D152" s="17">
        <f t="shared" si="40"/>
        <v>120</v>
      </c>
      <c r="E152" s="8">
        <f t="shared" si="41"/>
        <v>48000</v>
      </c>
      <c r="G152" s="41" t="s">
        <v>166</v>
      </c>
      <c r="H152" s="41" t="s">
        <v>167</v>
      </c>
      <c r="I152" s="41" t="s">
        <v>168</v>
      </c>
      <c r="J152" s="41" t="s">
        <v>169</v>
      </c>
      <c r="K152" s="41" t="s">
        <v>170</v>
      </c>
      <c r="L152" s="41" t="s">
        <v>171</v>
      </c>
    </row>
    <row r="153">
      <c r="B153" s="33" t="s">
        <v>172</v>
      </c>
      <c r="C153" s="34"/>
      <c r="D153" s="34"/>
      <c r="E153" s="35">
        <f>SUM(E147:E152)</f>
        <v>1416000</v>
      </c>
      <c r="G153" s="5" t="s">
        <v>173</v>
      </c>
      <c r="H153" s="17">
        <f>MIN(I147*12,I145)</f>
        <v>60</v>
      </c>
      <c r="I153" s="17">
        <f>MIN(I147*12,I145-H153)</f>
        <v>60</v>
      </c>
      <c r="J153" s="45">
        <v>0.0</v>
      </c>
      <c r="K153" s="45">
        <v>0.0</v>
      </c>
      <c r="L153" s="45">
        <v>0.0</v>
      </c>
    </row>
    <row r="154">
      <c r="B154" s="31" t="s">
        <v>174</v>
      </c>
      <c r="C154" s="32"/>
      <c r="D154" s="32"/>
      <c r="E154" s="32"/>
      <c r="G154" s="5" t="s">
        <v>175</v>
      </c>
      <c r="H154" s="17">
        <f>H153</f>
        <v>60</v>
      </c>
      <c r="I154" s="17">
        <f t="shared" ref="I154:L154" si="42">H154+I153</f>
        <v>120</v>
      </c>
      <c r="J154" s="17">
        <f t="shared" si="42"/>
        <v>120</v>
      </c>
      <c r="K154" s="17">
        <f t="shared" si="42"/>
        <v>120</v>
      </c>
      <c r="L154" s="17">
        <f t="shared" si="42"/>
        <v>120</v>
      </c>
    </row>
    <row r="155">
      <c r="B155" s="5" t="s">
        <v>176</v>
      </c>
      <c r="E155" s="14">
        <v>75000.0</v>
      </c>
      <c r="G155" s="5" t="s">
        <v>177</v>
      </c>
      <c r="H155" s="46">
        <f>H154/I145</f>
        <v>0.5</v>
      </c>
      <c r="I155" s="46">
        <f>I154/I145</f>
        <v>1</v>
      </c>
      <c r="J155" s="46">
        <f>J154/I145</f>
        <v>1</v>
      </c>
      <c r="K155" s="46">
        <f>K154/I145</f>
        <v>1</v>
      </c>
      <c r="L155" s="46">
        <f>L154/I145</f>
        <v>1</v>
      </c>
    </row>
    <row r="156">
      <c r="B156" s="5" t="s">
        <v>178</v>
      </c>
      <c r="E156" s="14">
        <v>50000.0</v>
      </c>
      <c r="G156" s="5" t="s">
        <v>179</v>
      </c>
      <c r="H156" s="42">
        <f>H153/2</f>
        <v>30</v>
      </c>
      <c r="I156" s="42">
        <f t="shared" ref="I156:L156" si="43">H154+(I153/2)</f>
        <v>90</v>
      </c>
      <c r="J156" s="42">
        <f t="shared" si="43"/>
        <v>120</v>
      </c>
      <c r="K156" s="42">
        <f t="shared" si="43"/>
        <v>120</v>
      </c>
      <c r="L156" s="42">
        <f t="shared" si="43"/>
        <v>120</v>
      </c>
    </row>
    <row r="157">
      <c r="B157" s="5" t="s">
        <v>110</v>
      </c>
      <c r="E157" s="14">
        <v>35000.0</v>
      </c>
      <c r="G157" s="5" t="s">
        <v>180</v>
      </c>
      <c r="H157" s="8">
        <f>H156*I148*12</f>
        <v>72000</v>
      </c>
      <c r="I157" s="8">
        <f>I156*I148*12</f>
        <v>216000</v>
      </c>
      <c r="J157" s="8">
        <f>J156*I148*12</f>
        <v>288000</v>
      </c>
      <c r="K157" s="8">
        <f>K156*I148*12</f>
        <v>288000</v>
      </c>
      <c r="L157" s="8">
        <f>L156*I148*12</f>
        <v>288000</v>
      </c>
    </row>
    <row r="158">
      <c r="B158" s="5" t="s">
        <v>181</v>
      </c>
      <c r="E158" s="14">
        <v>40000.0</v>
      </c>
      <c r="G158" s="5" t="s">
        <v>182</v>
      </c>
      <c r="H158" s="8">
        <f>H153/I145*E165</f>
        <v>942550</v>
      </c>
      <c r="I158" s="8">
        <f>I153/I145*E165</f>
        <v>942550</v>
      </c>
      <c r="J158" s="8">
        <f>J153/I145*E165</f>
        <v>0</v>
      </c>
      <c r="K158" s="8">
        <f>K153/I145*E165</f>
        <v>0</v>
      </c>
      <c r="L158" s="8">
        <f>L153/I145*E165</f>
        <v>0</v>
      </c>
    </row>
    <row r="159">
      <c r="B159" s="5" t="s">
        <v>183</v>
      </c>
      <c r="E159" s="14">
        <v>45000.0</v>
      </c>
    </row>
    <row r="160">
      <c r="B160" s="5" t="s">
        <v>184</v>
      </c>
      <c r="E160" s="14">
        <v>30000.0</v>
      </c>
    </row>
    <row r="161">
      <c r="B161" s="33" t="s">
        <v>185</v>
      </c>
      <c r="C161" s="34"/>
      <c r="D161" s="34"/>
      <c r="E161" s="35">
        <f>SUM(E155:E160)</f>
        <v>275000</v>
      </c>
    </row>
    <row r="162">
      <c r="B162" s="1" t="s">
        <v>186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B163" s="5" t="s">
        <v>187</v>
      </c>
      <c r="E163" s="8">
        <f>(E153+E161)*0.1</f>
        <v>169100</v>
      </c>
    </row>
    <row r="164">
      <c r="B164" s="3" t="s">
        <v>188</v>
      </c>
      <c r="C164" s="4"/>
      <c r="D164" s="4"/>
      <c r="E164" s="47">
        <v>25000.0</v>
      </c>
    </row>
    <row r="165">
      <c r="B165" s="37" t="s">
        <v>189</v>
      </c>
      <c r="C165" s="38"/>
      <c r="D165" s="48">
        <v>0.03</v>
      </c>
      <c r="E165" s="39">
        <f>E153+E161+E163+E164</f>
        <v>1885100</v>
      </c>
    </row>
    <row r="166">
      <c r="B166" s="5" t="s">
        <v>190</v>
      </c>
      <c r="D166" s="29">
        <v>0.025</v>
      </c>
    </row>
    <row r="167">
      <c r="B167" s="5" t="s">
        <v>191</v>
      </c>
      <c r="D167" s="29">
        <v>0.02</v>
      </c>
    </row>
    <row r="168">
      <c r="B168" s="5" t="s">
        <v>192</v>
      </c>
      <c r="D168" s="29">
        <v>0.95</v>
      </c>
    </row>
    <row r="170">
      <c r="B170" s="3" t="s">
        <v>193</v>
      </c>
      <c r="C170" s="4"/>
      <c r="D170" s="4"/>
      <c r="E170" s="4"/>
      <c r="F170" s="4"/>
      <c r="G170" s="4"/>
      <c r="H170" s="4"/>
      <c r="I170" s="4"/>
    </row>
    <row r="171">
      <c r="B171" s="49"/>
      <c r="C171" s="41" t="s">
        <v>194</v>
      </c>
      <c r="D171" s="41" t="s">
        <v>167</v>
      </c>
      <c r="E171" s="41" t="s">
        <v>168</v>
      </c>
      <c r="F171" s="41" t="s">
        <v>169</v>
      </c>
      <c r="G171" s="41" t="s">
        <v>170</v>
      </c>
      <c r="H171" s="41" t="s">
        <v>171</v>
      </c>
    </row>
    <row r="172">
      <c r="B172" s="31" t="s">
        <v>195</v>
      </c>
      <c r="C172" s="32"/>
      <c r="D172" s="32"/>
      <c r="E172" s="32"/>
      <c r="F172" s="32"/>
      <c r="G172" s="32"/>
      <c r="H172" s="32"/>
    </row>
    <row r="173">
      <c r="B173" s="5" t="s">
        <v>196</v>
      </c>
      <c r="C173" s="8">
        <f>D47</f>
        <v>2082000</v>
      </c>
      <c r="D173" s="8">
        <f t="shared" ref="D173:H173" si="44">C173*(1+$D$165)</f>
        <v>2144460</v>
      </c>
      <c r="E173" s="8">
        <f t="shared" si="44"/>
        <v>2208793.8</v>
      </c>
      <c r="F173" s="8">
        <f t="shared" si="44"/>
        <v>2275057.614</v>
      </c>
      <c r="G173" s="8">
        <f t="shared" si="44"/>
        <v>2343309.342</v>
      </c>
      <c r="H173" s="8">
        <f t="shared" si="44"/>
        <v>2413608.623</v>
      </c>
    </row>
    <row r="174">
      <c r="B174" s="5" t="s">
        <v>197</v>
      </c>
      <c r="C174" s="8">
        <f>D49</f>
        <v>-189720</v>
      </c>
      <c r="D174" s="8">
        <f t="shared" ref="D174:E174" si="45">C174*(1-H155)</f>
        <v>-94860</v>
      </c>
      <c r="E174" s="8">
        <f t="shared" si="45"/>
        <v>0</v>
      </c>
      <c r="F174" s="50">
        <v>0.0</v>
      </c>
      <c r="G174" s="50">
        <v>0.0</v>
      </c>
      <c r="H174" s="50">
        <v>0.0</v>
      </c>
    </row>
    <row r="175">
      <c r="B175" s="5" t="s">
        <v>198</v>
      </c>
      <c r="C175" s="50">
        <v>0.0</v>
      </c>
      <c r="D175" s="8">
        <f t="shared" ref="D175:H175" si="46">H157</f>
        <v>72000</v>
      </c>
      <c r="E175" s="8">
        <f t="shared" si="46"/>
        <v>216000</v>
      </c>
      <c r="F175" s="8">
        <f t="shared" si="46"/>
        <v>288000</v>
      </c>
      <c r="G175" s="8">
        <f t="shared" si="46"/>
        <v>288000</v>
      </c>
      <c r="H175" s="8">
        <f t="shared" si="46"/>
        <v>288000</v>
      </c>
    </row>
    <row r="176">
      <c r="B176" s="5" t="s">
        <v>63</v>
      </c>
      <c r="C176" s="8">
        <f>-(C173+C175)*(1-$D$41)</f>
        <v>-145740</v>
      </c>
      <c r="D176" s="8">
        <f>-(D173+D174+D175)*(1-$D$41)</f>
        <v>-148512</v>
      </c>
      <c r="E176" s="8">
        <f>-(E173+E174+E175)*(1-($D$41+($D$168-$D$41)/2))</f>
        <v>-145487.628</v>
      </c>
      <c r="F176" s="8">
        <f t="shared" ref="F176:H176" si="47">-(F173+F174+F175)*(1-$D$168)</f>
        <v>-128152.8807</v>
      </c>
      <c r="G176" s="8">
        <f t="shared" si="47"/>
        <v>-131565.4671</v>
      </c>
      <c r="H176" s="8">
        <f t="shared" si="47"/>
        <v>-135080.4311</v>
      </c>
    </row>
    <row r="177">
      <c r="B177" s="5" t="s">
        <v>199</v>
      </c>
      <c r="C177" s="8">
        <f>D50+D51</f>
        <v>-41043.9</v>
      </c>
      <c r="D177" s="8">
        <f t="shared" ref="D177:D178" si="48">C177*(1+$D$165)</f>
        <v>-42275.217</v>
      </c>
      <c r="E177" s="8">
        <f>D177*(1+$D$165)*0.8</f>
        <v>-34834.77881</v>
      </c>
      <c r="F177" s="8">
        <f>E177*0.7</f>
        <v>-24384.34517</v>
      </c>
      <c r="G177" s="8">
        <f>F177*0.9</f>
        <v>-21945.91065</v>
      </c>
      <c r="H177" s="8">
        <f>G177</f>
        <v>-21945.91065</v>
      </c>
    </row>
    <row r="178">
      <c r="B178" s="5" t="s">
        <v>67</v>
      </c>
      <c r="C178" s="8">
        <f>D52</f>
        <v>72000</v>
      </c>
      <c r="D178" s="8">
        <f t="shared" si="48"/>
        <v>74160</v>
      </c>
      <c r="E178" s="8">
        <f t="shared" ref="E178:H178" si="49">D178*(1+$D$165)</f>
        <v>76384.8</v>
      </c>
      <c r="F178" s="8">
        <f t="shared" si="49"/>
        <v>78676.344</v>
      </c>
      <c r="G178" s="8">
        <f t="shared" si="49"/>
        <v>81036.63432</v>
      </c>
      <c r="H178" s="8">
        <f t="shared" si="49"/>
        <v>83467.73335</v>
      </c>
    </row>
    <row r="179">
      <c r="B179" s="5" t="s">
        <v>200</v>
      </c>
      <c r="C179" s="8">
        <f>G127</f>
        <v>138060</v>
      </c>
      <c r="D179" s="8">
        <f t="shared" ref="D179:H179" si="50">C179*(1+$D$167)</f>
        <v>140821.2</v>
      </c>
      <c r="E179" s="8">
        <f t="shared" si="50"/>
        <v>143637.624</v>
      </c>
      <c r="F179" s="8">
        <f t="shared" si="50"/>
        <v>146510.3765</v>
      </c>
      <c r="G179" s="8">
        <f t="shared" si="50"/>
        <v>149440.584</v>
      </c>
      <c r="H179" s="8">
        <f t="shared" si="50"/>
        <v>152429.3957</v>
      </c>
    </row>
    <row r="180">
      <c r="B180" s="23" t="s">
        <v>201</v>
      </c>
      <c r="C180" s="27">
        <f t="shared" ref="C180:H180" si="51">SUM(C173:C179)</f>
        <v>1915556.1</v>
      </c>
      <c r="D180" s="27">
        <f t="shared" si="51"/>
        <v>2145793.983</v>
      </c>
      <c r="E180" s="27">
        <f t="shared" si="51"/>
        <v>2464493.817</v>
      </c>
      <c r="F180" s="27">
        <f t="shared" si="51"/>
        <v>2635707.109</v>
      </c>
      <c r="G180" s="27">
        <f t="shared" si="51"/>
        <v>2708275.183</v>
      </c>
      <c r="H180" s="27">
        <f t="shared" si="51"/>
        <v>2780479.41</v>
      </c>
    </row>
    <row r="182">
      <c r="B182" s="31" t="s">
        <v>202</v>
      </c>
      <c r="C182" s="32"/>
      <c r="D182" s="32"/>
      <c r="E182" s="32"/>
      <c r="F182" s="32"/>
      <c r="G182" s="32"/>
      <c r="H182" s="32"/>
    </row>
    <row r="183">
      <c r="B183" s="5" t="s">
        <v>203</v>
      </c>
      <c r="C183" s="8">
        <f>D103</f>
        <v>936299.844</v>
      </c>
      <c r="D183" s="8">
        <f t="shared" ref="D183:H183" si="52">C183*(1+$D$166)</f>
        <v>959707.3401</v>
      </c>
      <c r="E183" s="8">
        <f t="shared" si="52"/>
        <v>983700.0236</v>
      </c>
      <c r="F183" s="8">
        <f t="shared" si="52"/>
        <v>1008292.524</v>
      </c>
      <c r="G183" s="8">
        <f t="shared" si="52"/>
        <v>1033499.837</v>
      </c>
      <c r="H183" s="8">
        <f t="shared" si="52"/>
        <v>1059337.333</v>
      </c>
    </row>
    <row r="185">
      <c r="B185" s="37" t="s">
        <v>204</v>
      </c>
      <c r="C185" s="39">
        <f t="shared" ref="C185:H185" si="53">C180-C183</f>
        <v>979256.256</v>
      </c>
      <c r="D185" s="39">
        <f t="shared" si="53"/>
        <v>1186086.643</v>
      </c>
      <c r="E185" s="39">
        <f t="shared" si="53"/>
        <v>1480793.794</v>
      </c>
      <c r="F185" s="39">
        <f t="shared" si="53"/>
        <v>1627414.584</v>
      </c>
      <c r="G185" s="39">
        <f t="shared" si="53"/>
        <v>1674775.346</v>
      </c>
      <c r="H185" s="39">
        <f t="shared" si="53"/>
        <v>1721142.077</v>
      </c>
    </row>
    <row r="186">
      <c r="B186" s="5" t="s">
        <v>205</v>
      </c>
      <c r="C186" s="22"/>
      <c r="D186" s="22">
        <f t="shared" ref="D186:H186" si="54">(D185-C185)/C185</f>
        <v>0.2112117085</v>
      </c>
      <c r="E186" s="22">
        <f t="shared" si="54"/>
        <v>0.2484701708</v>
      </c>
      <c r="F186" s="22">
        <f t="shared" si="54"/>
        <v>0.09901499552</v>
      </c>
      <c r="G186" s="22">
        <f t="shared" si="54"/>
        <v>0.02910184148</v>
      </c>
      <c r="H186" s="22">
        <f t="shared" si="54"/>
        <v>0.02768534368</v>
      </c>
    </row>
    <row r="188">
      <c r="B188" s="31" t="s">
        <v>206</v>
      </c>
      <c r="C188" s="32"/>
      <c r="D188" s="32"/>
      <c r="E188" s="32"/>
      <c r="F188" s="32"/>
      <c r="G188" s="32"/>
      <c r="H188" s="32"/>
    </row>
    <row r="189">
      <c r="B189" s="5" t="s">
        <v>207</v>
      </c>
      <c r="C189" s="8">
        <f>-H10</f>
        <v>-637124.5677</v>
      </c>
      <c r="D189" s="8">
        <f>-H10</f>
        <v>-637124.5677</v>
      </c>
      <c r="E189" s="8">
        <f>-H10</f>
        <v>-637124.5677</v>
      </c>
      <c r="F189" s="8">
        <f>-H10</f>
        <v>-637124.5677</v>
      </c>
      <c r="G189" s="8">
        <f>-H10</f>
        <v>-637124.5677</v>
      </c>
      <c r="H189" s="8">
        <f>-H10</f>
        <v>-637124.5677</v>
      </c>
    </row>
    <row r="190">
      <c r="B190" s="5" t="s">
        <v>208</v>
      </c>
      <c r="C190" s="50">
        <v>0.0</v>
      </c>
      <c r="D190" s="8">
        <f t="shared" ref="D190:H190" si="55">-H158</f>
        <v>-942550</v>
      </c>
      <c r="E190" s="8">
        <f t="shared" si="55"/>
        <v>-942550</v>
      </c>
      <c r="F190" s="8">
        <f t="shared" si="55"/>
        <v>0</v>
      </c>
      <c r="G190" s="8">
        <f t="shared" si="55"/>
        <v>0</v>
      </c>
      <c r="H190" s="8">
        <f t="shared" si="55"/>
        <v>0</v>
      </c>
    </row>
    <row r="191">
      <c r="B191" s="23" t="s">
        <v>209</v>
      </c>
      <c r="C191" s="27">
        <f t="shared" ref="C191:H191" si="56">C185+C189+C190</f>
        <v>342131.6883</v>
      </c>
      <c r="D191" s="27">
        <f t="shared" si="56"/>
        <v>-393587.9248</v>
      </c>
      <c r="E191" s="27">
        <f t="shared" si="56"/>
        <v>-98880.77409</v>
      </c>
      <c r="F191" s="27">
        <f t="shared" si="56"/>
        <v>990290.0167</v>
      </c>
      <c r="G191" s="27">
        <f t="shared" si="56"/>
        <v>1037650.778</v>
      </c>
      <c r="H191" s="27">
        <f t="shared" si="56"/>
        <v>1084017.509</v>
      </c>
    </row>
    <row r="193">
      <c r="B193" s="3" t="s">
        <v>210</v>
      </c>
      <c r="C193" s="4"/>
      <c r="D193" s="4"/>
      <c r="E193" s="4"/>
      <c r="F193" s="4"/>
      <c r="G193" s="4"/>
      <c r="H193" s="4"/>
    </row>
    <row r="194">
      <c r="B194" s="5" t="s">
        <v>211</v>
      </c>
      <c r="D194" s="7">
        <v>0.055</v>
      </c>
      <c r="F194" s="23" t="s">
        <v>212</v>
      </c>
      <c r="G194" s="24"/>
      <c r="H194" s="24"/>
    </row>
    <row r="195">
      <c r="B195" s="5" t="s">
        <v>213</v>
      </c>
      <c r="D195" s="29">
        <v>0.02</v>
      </c>
      <c r="F195" s="11" t="s">
        <v>214</v>
      </c>
      <c r="G195" s="12"/>
      <c r="H195" s="12"/>
    </row>
    <row r="196">
      <c r="B196" s="5" t="s">
        <v>215</v>
      </c>
      <c r="D196" s="9">
        <v>5.0</v>
      </c>
      <c r="F196" s="5" t="s">
        <v>167</v>
      </c>
      <c r="H196" s="22">
        <f>D191/H16</f>
        <v>-0.07370560389</v>
      </c>
    </row>
    <row r="197">
      <c r="F197" s="5" t="s">
        <v>168</v>
      </c>
      <c r="H197" s="22">
        <f>E191/H16</f>
        <v>-0.01851699889</v>
      </c>
    </row>
    <row r="198">
      <c r="B198" s="23" t="s">
        <v>216</v>
      </c>
      <c r="C198" s="24"/>
      <c r="D198" s="24"/>
      <c r="F198" s="5" t="s">
        <v>169</v>
      </c>
      <c r="H198" s="22">
        <f>F191/H16</f>
        <v>0.1854475687</v>
      </c>
    </row>
    <row r="199">
      <c r="B199" s="5" t="s">
        <v>217</v>
      </c>
      <c r="D199" s="8">
        <f>H185</f>
        <v>1721142.077</v>
      </c>
      <c r="F199" s="5" t="s">
        <v>170</v>
      </c>
      <c r="H199" s="22">
        <f>G191/H16</f>
        <v>0.1943166251</v>
      </c>
    </row>
    <row r="200">
      <c r="B200" s="5" t="s">
        <v>218</v>
      </c>
      <c r="D200" s="8">
        <f>D199/D194</f>
        <v>31293492.3</v>
      </c>
      <c r="F200" s="5" t="s">
        <v>171</v>
      </c>
      <c r="H200" s="22">
        <f>H191/H16</f>
        <v>0.2029995335</v>
      </c>
    </row>
    <row r="201">
      <c r="B201" s="5" t="s">
        <v>219</v>
      </c>
      <c r="D201" s="8">
        <f>-D200*D195</f>
        <v>-625869.8461</v>
      </c>
    </row>
    <row r="202">
      <c r="B202" s="11" t="s">
        <v>220</v>
      </c>
      <c r="C202" s="12"/>
      <c r="D202" s="13">
        <f>D200+D201</f>
        <v>30667622.46</v>
      </c>
      <c r="F202" s="23" t="s">
        <v>221</v>
      </c>
      <c r="G202" s="24"/>
      <c r="H202" s="24"/>
    </row>
    <row r="203">
      <c r="B203" s="5" t="s">
        <v>222</v>
      </c>
      <c r="D203" s="8">
        <f>-FV(H7/12,D196*12,-H10/12,H6)</f>
        <v>7863322.105</v>
      </c>
      <c r="F203" s="5" t="s">
        <v>223</v>
      </c>
      <c r="H203" s="22">
        <f t="array" ref="H203">IRR({-H16,D191,E191,F191,G191,H191+D204})</f>
        <v>0.5037919888</v>
      </c>
    </row>
    <row r="204">
      <c r="B204" s="23" t="s">
        <v>224</v>
      </c>
      <c r="C204" s="24"/>
      <c r="D204" s="27">
        <f>D202+D203</f>
        <v>38530944.56</v>
      </c>
      <c r="F204" s="5" t="s">
        <v>225</v>
      </c>
      <c r="H204" s="18">
        <f>(D191+E191+F191+G191+H191+D204)/H16</f>
        <v>7.706073814</v>
      </c>
    </row>
    <row r="205">
      <c r="F205" s="5" t="s">
        <v>226</v>
      </c>
      <c r="H205" s="22">
        <f>AVERAGE(H196:H200)</f>
        <v>0.0981082249</v>
      </c>
    </row>
    <row r="207">
      <c r="B207" s="3" t="s">
        <v>227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9">
      <c r="B209" s="23" t="s">
        <v>228</v>
      </c>
      <c r="C209" s="24"/>
      <c r="D209" s="24"/>
      <c r="E209" s="24"/>
      <c r="F209" s="24"/>
      <c r="G209" s="24"/>
      <c r="H209" s="24"/>
    </row>
    <row r="210">
      <c r="B210" s="5" t="s">
        <v>229</v>
      </c>
      <c r="C210" s="5" t="s">
        <v>230</v>
      </c>
      <c r="D210" s="51">
        <v>0.045</v>
      </c>
      <c r="E210" s="51">
        <v>0.05</v>
      </c>
      <c r="F210" s="51">
        <v>0.055</v>
      </c>
      <c r="G210" s="51">
        <v>0.06</v>
      </c>
      <c r="H210" s="51">
        <v>0.065</v>
      </c>
      <c r="I210" s="51">
        <v>0.07</v>
      </c>
    </row>
    <row r="211">
      <c r="B211" s="52" t="s">
        <v>231</v>
      </c>
      <c r="C211" s="51">
        <v>0.01</v>
      </c>
      <c r="D211" s="22">
        <f t="array" ref="D211">IRR({-H16,(D180-D183)*(1+(0.01-$D$165)),(E180-E183)*(1+(0.01-$D$165)*2),(F180-F183)*(1+(0.01-$D$165)*3),(G180-G183)*(1+(0.01-$D$165)*4),(H180-H183)*(1+(0.01-$D$165)*5)+((H185*(1+(0.01-$D$165)*5))/0.045)*(1-$D$195)+$D$203})</f>
        <v>0.6471426792</v>
      </c>
      <c r="E211" s="22">
        <f t="array" ref="E211">IRR({-H16,(D180-D183)*(1+(0.01-$D$165)),(E180-E183)*(1+(0.01-$D$165)*2),(F180-F183)*(1+(0.01-$D$165)*3),(G180-G183)*(1+(0.01-$D$165)*4),(H180-H183)*(1+(0.01-$D$165)*5)+((H185*(1+(0.01-$D$165)*5))/0.05)*(1-$D$195)+$D$203})</f>
        <v>0.6250962479</v>
      </c>
      <c r="F211" s="22">
        <f t="array" ref="F211">IRR({-H16,(D180-D183)*(1+(0.01-$D$165)),(E180-E183)*(1+(0.01-$D$165)*2),(F180-F183)*(1+(0.01-$D$165)*3),(G180-G183)*(1+(0.01-$D$165)*4),(H180-H183)*(1+(0.01-$D$165)*5)+((H185*(1+(0.01-$D$165)*5))/0.055)*(1-$D$195)+$D$203})</f>
        <v>0.6060189219</v>
      </c>
      <c r="G211" s="22">
        <f t="array" ref="G211">IRR({-H16,(D180-D183)*(1+(0.01-$D$165)),(E180-E183)*(1+(0.01-$D$165)*2),(F180-F183)*(1+(0.01-$D$165)*3),(G180-G183)*(1+(0.01-$D$165)*4),(H180-H183)*(1+(0.01-$D$165)*5)+((H185*(1+(0.01-$D$165)*5))/0.06)*(1-$D$195)+$D$203})</f>
        <v>0.5893149306</v>
      </c>
      <c r="H211" s="22">
        <f t="array" ref="H211">IRR({-H16,(D180-D183)*(1+(0.01-$D$165)),(E180-E183)*(1+(0.01-$D$165)*2),(F180-F183)*(1+(0.01-$D$165)*3),(G180-G183)*(1+(0.01-$D$165)*4),(H180-H183)*(1+(0.01-$D$165)*5)+((H185*(1+(0.01-$D$165)*5))/0.065)*(1-$D$195)+$D$203})</f>
        <v>0.5745436252</v>
      </c>
      <c r="I211" s="22">
        <f t="array" ref="I211">IRR({-H16,(D180-D183)*(1+(0.01-$D$165)),(E180-E183)*(1+(0.01-$D$165)*2),(F180-F183)*(1+(0.01-$D$165)*3),(G180-G183)*(1+(0.01-$D$165)*4),(H180-H183)*(1+(0.01-$D$165)*5)+((H185*(1+(0.01-$D$165)*5))/0.07)*(1-$D$195)+$D$203})</f>
        <v>0.5613709022</v>
      </c>
    </row>
    <row r="212">
      <c r="C212" s="51">
        <v>0.02</v>
      </c>
      <c r="D212" s="22">
        <f t="array" ref="D212">IRR({-H16,(D180-D183)*(1+(0.02-$D$165)),(E180-E183)*(1+(0.02-$D$165)*2),(F180-F183)*(1+(0.02-$D$165)*3),(G180-G183)*(1+(0.02-$D$165)*4),(H180-H183)*(1+(0.02-$D$165)*5)+((H185*(1+(0.02-$D$165)*5))/0.045)*(1-$D$195)+$D$203})</f>
        <v>0.6622706229</v>
      </c>
      <c r="E212" s="22">
        <f t="array" ref="E212">IRR({-H16,(D180-D183)*(1+(0.02-$D$165)),(E180-E183)*(1+(0.02-$D$165)*2),(F180-F183)*(1+(0.02-$D$165)*3),(G180-G183)*(1+(0.02-$D$165)*4),(H180-H183)*(1+(0.02-$D$165)*5)+((H185*(1+(0.02-$D$165)*5))/0.05)*(1-$D$195)+$D$203})</f>
        <v>0.6398177262</v>
      </c>
      <c r="F212" s="22">
        <f t="array" ref="F212">IRR({-H16,(D180-D183)*(1+(0.02-$D$165)),(E180-E183)*(1+(0.02-$D$165)*2),(F180-F183)*(1+(0.02-$D$165)*3),(G180-G183)*(1+(0.02-$D$165)*4),(H180-H183)*(1+(0.02-$D$165)*5)+((H185*(1+(0.02-$D$165)*5))/0.055)*(1-$D$195)+$D$203})</f>
        <v>0.620377905</v>
      </c>
      <c r="G212" s="22">
        <f t="array" ref="G212">IRR({-H16,(D180-D183)*(1+(0.02-$D$165)),(E180-E183)*(1+(0.02-$D$165)*2),(F180-F183)*(1+(0.02-$D$165)*3),(G180-G183)*(1+(0.02-$D$165)*4),(H180-H183)*(1+(0.02-$D$165)*5)+((H185*(1+(0.02-$D$165)*5))/0.06)*(1-$D$195)+$D$203})</f>
        <v>0.6033475852</v>
      </c>
      <c r="H212" s="22">
        <f t="array" ref="H212">IRR({-H16,(D180-D183)*(1+(0.02-$D$165)),(E180-E183)*(1+(0.02-$D$165)*2),(F180-F183)*(1+(0.02-$D$165)*3),(G180-G183)*(1+(0.02-$D$165)*4),(H180-H183)*(1+(0.02-$D$165)*5)+((H185*(1+(0.02-$D$165)*5))/0.065)*(1-$D$195)+$D$203})</f>
        <v>0.5882802193</v>
      </c>
      <c r="I212" s="22">
        <f t="array" ref="I212">IRR({-H16,(D180-D183)*(1+(0.02-$D$165)),(E180-E183)*(1+(0.02-$D$165)*2),(F180-F183)*(1+(0.02-$D$165)*3),(G180-G183)*(1+(0.02-$D$165)*4),(H180-H183)*(1+(0.02-$D$165)*5)+((H185*(1+(0.02-$D$165)*5))/0.07)*(1-$D$195)+$D$203})</f>
        <v>0.5748371328</v>
      </c>
    </row>
    <row r="213">
      <c r="C213" s="51">
        <v>0.03</v>
      </c>
      <c r="D213" s="22">
        <f t="array" ref="D213">IRR({-H16,(D180-D183)*(1+(0.03-$D$165)),(E180-E183)*(1+(0.03-$D$165)*2),(F180-F183)*(1+(0.03-$D$165)*3),(G180-G183)*(1+(0.03-$D$165)*4),(H180-H183)*(1+(0.03-$D$165)*5)+((H185*(1+(0.03-$D$165)*5))/0.045)*(1-$D$195)+$D$203})</f>
        <v>0.6769355604</v>
      </c>
      <c r="E213" s="22">
        <f t="array" ref="E213">IRR({-H16,(D180-D183)*(1+(0.03-$D$165)),(E180-E183)*(1+(0.03-$D$165)*2),(F180-F183)*(1+(0.03-$D$165)*3),(G180-G183)*(1+(0.03-$D$165)*4),(H180-H183)*(1+(0.03-$D$165)*5)+((H185*(1+(0.03-$D$165)*5))/0.05)*(1-$D$195)+$D$203})</f>
        <v>0.6540985202</v>
      </c>
      <c r="F213" s="53">
        <f t="array" ref="F213">IRR({-H16,(D180-D183)*(1+(0.03-$D$165)),(E180-E183)*(1+(0.03-$D$165)*2),(F180-F183)*(1+(0.03-$D$165)*3),(G180-G183)*(1+(0.03-$D$165)*4),(H180-H183)*(1+(0.03-$D$165)*5)+((H185*(1+(0.03-$D$165)*5))/0.055)*(1-$D$195)+$D$203})</f>
        <v>0.6343161186</v>
      </c>
      <c r="G213" s="22">
        <f t="array" ref="G213">IRR({-H16,(D180-D183)*(1+(0.03-$D$165)),(E180-E183)*(1+(0.03-$D$165)*2),(F180-F183)*(1+(0.03-$D$165)*3),(G180-G183)*(1+(0.03-$D$165)*4),(H180-H183)*(1+(0.03-$D$165)*5)+((H185*(1+(0.03-$D$165)*5))/0.06)*(1-$D$195)+$D$203})</f>
        <v>0.6169773841</v>
      </c>
      <c r="H213" s="22">
        <f t="array" ref="H213">IRR({-H16,(D180-D183)*(1+(0.03-$D$165)),(E180-E183)*(1+(0.03-$D$165)*2),(F180-F183)*(1+(0.03-$D$165)*3),(G180-G183)*(1+(0.03-$D$165)*4),(H180-H183)*(1+(0.03-$D$165)*5)+((H185*(1+(0.03-$D$165)*5))/0.065)*(1-$D$195)+$D$203})</f>
        <v>0.6016301816</v>
      </c>
      <c r="I213" s="22">
        <f t="array" ref="I213">IRR({-H16,(D180-D183)*(1+(0.03-$D$165)),(E180-E183)*(1+(0.03-$D$165)*2),(F180-F183)*(1+(0.03-$D$165)*3),(G180-G183)*(1+(0.03-$D$165)*4),(H180-H183)*(1+(0.03-$D$165)*5)+((H185*(1+(0.03-$D$165)*5))/0.07)*(1-$D$195)+$D$203})</f>
        <v>0.5879315111</v>
      </c>
    </row>
    <row r="214">
      <c r="C214" s="51">
        <v>0.04</v>
      </c>
      <c r="D214" s="22">
        <f t="array" ref="D214">IRR({-H16,(D180-D183)*(1+(0.04-$D$165)),(E180-E183)*(1+(0.04-$D$165)*2),(F180-F183)*(1+(0.04-$D$165)*3),(G180-G183)*(1+(0.04-$D$165)*4),(H180-H183)*(1+(0.04-$D$165)*5)+((H185*(1+(0.04-$D$165)*5))/0.045)*(1-$D$195)+$D$203})</f>
        <v>0.6911709749</v>
      </c>
      <c r="E214" s="22">
        <f t="array" ref="E214">IRR({-H16,(D180-D183)*(1+(0.04-$D$165)),(E180-E183)*(1+(0.04-$D$165)*2),(F180-F183)*(1+(0.04-$D$165)*3),(G180-G183)*(1+(0.04-$D$165)*4),(H180-H183)*(1+(0.04-$D$165)*5)+((H185*(1+(0.04-$D$165)*5))/0.05)*(1-$D$195)+$D$203})</f>
        <v>0.6679699526</v>
      </c>
      <c r="F214" s="22">
        <f t="array" ref="F214">IRR({-H16,(D180-D183)*(1+(0.04-$D$165)),(E180-E183)*(1+(0.04-$D$165)*2),(F180-F183)*(1+(0.04-$D$165)*3),(G180-G183)*(1+(0.04-$D$165)*4),(H180-H183)*(1+(0.04-$D$165)*5)+((H185*(1+(0.04-$D$165)*5))/0.055)*(1-$D$195)+$D$203})</f>
        <v>0.6478629757</v>
      </c>
      <c r="G214" s="22">
        <f t="array" ref="G214">IRR({-H16,(D180-D183)*(1+(0.04-$D$165)),(E180-E183)*(1+(0.04-$D$165)*2),(F180-F183)*(1+(0.04-$D$165)*3),(G180-G183)*(1+(0.04-$D$165)*4),(H180-H183)*(1+(0.04-$D$165)*5)+((H185*(1+(0.04-$D$165)*5))/0.06)*(1-$D$195)+$D$203})</f>
        <v>0.6302320381</v>
      </c>
      <c r="H214" s="22">
        <f t="array" ref="H214">IRR({-H16,(D180-D183)*(1+(0.04-$D$165)),(E180-E183)*(1+(0.04-$D$165)*2),(F180-F183)*(1+(0.04-$D$165)*3),(G180-G183)*(1+(0.04-$D$165)*4),(H180-H183)*(1+(0.04-$D$165)*5)+((H185*(1+(0.04-$D$165)*5))/0.065)*(1-$D$195)+$D$203})</f>
        <v>0.6146196967</v>
      </c>
      <c r="I214" s="22">
        <f t="array" ref="I214">IRR({-H16,(D180-D183)*(1+(0.04-$D$165)),(E180-E183)*(1+(0.04-$D$165)*2),(F180-F183)*(1+(0.04-$D$165)*3),(G180-G183)*(1+(0.04-$D$165)*4),(H180-H183)*(1+(0.04-$D$165)*5)+((H185*(1+(0.04-$D$165)*5))/0.07)*(1-$D$195)+$D$203})</f>
        <v>0.6006788445</v>
      </c>
    </row>
    <row r="215">
      <c r="C215" s="51">
        <v>0.05</v>
      </c>
      <c r="D215" s="22">
        <f t="array" ref="D215">IRR({-H16,(D180-D183)*(1+(0.05-$D$165)),(E180-E183)*(1+(0.05-$D$165)*2),(F180-F183)*(1+(0.05-$D$165)*3),(G180-G183)*(1+(0.05-$D$165)*4),(H180-H183)*(1+(0.05-$D$165)*5)+((H185*(1+(0.05-$D$165)*5))/0.045)*(1-$D$195)+$D$203})</f>
        <v>0.7050067132</v>
      </c>
      <c r="E215" s="22">
        <f t="array" ref="E215">IRR({-H16,(D180-D183)*(1+(0.05-$D$165)),(E180-E183)*(1+(0.05-$D$165)*2),(F180-F183)*(1+(0.05-$D$165)*3),(G180-G183)*(1+(0.05-$D$165)*4),(H180-H183)*(1+(0.05-$D$165)*5)+((H185*(1+(0.05-$D$165)*5))/0.05)*(1-$D$195)+$D$203})</f>
        <v>0.6814600004</v>
      </c>
      <c r="F215" s="22">
        <f t="array" ref="F215">IRR({-H16,(D180-D183)*(1+(0.05-$D$165)),(E180-E183)*(1+(0.05-$D$165)*2),(F180-F183)*(1+(0.05-$D$165)*3),(G180-G183)*(1+(0.05-$D$165)*4),(H180-H183)*(1+(0.05-$D$165)*5)+((H185*(1+(0.05-$D$165)*5))/0.055)*(1-$D$195)+$D$203})</f>
        <v>0.6610447971</v>
      </c>
      <c r="G215" s="22">
        <f t="array" ref="G215">IRR({-H16,(D180-D183)*(1+(0.05-$D$165)),(E180-E183)*(1+(0.05-$D$165)*2),(F180-F183)*(1+(0.05-$D$165)*3),(G180-G183)*(1+(0.05-$D$165)*4),(H180-H183)*(1+(0.05-$D$165)*5)+((H185*(1+(0.05-$D$165)*5))/0.06)*(1-$D$195)+$D$203})</f>
        <v>0.6431363901</v>
      </c>
      <c r="H215" s="22">
        <f t="array" ref="H215">IRR({-H16,(D180-D183)*(1+(0.05-$D$165)),(E180-E183)*(1+(0.05-$D$165)*2),(F180-F183)*(1+(0.05-$D$165)*3),(G180-G183)*(1+(0.05-$D$165)*4),(H180-H183)*(1+(0.05-$D$165)*5)+((H185*(1+(0.05-$D$165)*5))/0.065)*(1-$D$195)+$D$203})</f>
        <v>0.6272722788</v>
      </c>
      <c r="I215" s="22">
        <f t="array" ref="I215">IRR({-H16,(D180-D183)*(1+(0.05-$D$165)),(E180-E183)*(1+(0.05-$D$165)*2),(F180-F183)*(1+(0.05-$D$165)*3),(G180-G183)*(1+(0.05-$D$165)*4),(H180-H183)*(1+(0.05-$D$165)*5)+((H185*(1+(0.05-$D$165)*5))/0.07)*(1-$D$195)+$D$203})</f>
        <v>0.613101447</v>
      </c>
    </row>
    <row r="218">
      <c r="B218" s="23" t="s">
        <v>232</v>
      </c>
      <c r="C218" s="24"/>
      <c r="D218" s="24"/>
      <c r="E218" s="24"/>
      <c r="F218" s="24"/>
      <c r="G218" s="24"/>
      <c r="H218" s="24"/>
    </row>
    <row r="219">
      <c r="B219" s="5" t="s">
        <v>233</v>
      </c>
      <c r="C219" s="5" t="s">
        <v>230</v>
      </c>
      <c r="D219" s="51">
        <v>0.045</v>
      </c>
      <c r="E219" s="51">
        <v>0.05</v>
      </c>
      <c r="F219" s="51">
        <v>0.055</v>
      </c>
      <c r="G219" s="51">
        <v>0.06</v>
      </c>
      <c r="H219" s="51">
        <v>0.065</v>
      </c>
      <c r="I219" s="51">
        <v>0.07</v>
      </c>
    </row>
    <row r="220">
      <c r="B220" s="52" t="s">
        <v>231</v>
      </c>
      <c r="C220" s="51">
        <v>0.01</v>
      </c>
      <c r="D220" s="18">
        <f>((D191*(1+(0.01-$D$165)))+(E191*(1+(0.01-$D$165)*2))+(F191*(1+(0.01-$D$165)*3))+(G191*(1+(0.01-$D$165)*4))+(H191*(1+(0.01-$D$165)*5))+((H185*(1+(0.01-$D$165)*5))/0.045)*(1-$D$195)+$D$203)/H16</f>
        <v>8.235616515</v>
      </c>
      <c r="E220" s="18">
        <f>((D191*(1+(0.01-$D$165)))+(E191*(1+(0.01-$D$165)*2))+(F191*(1+(0.01-$D$165)*3))+(G191*(1+(0.01-$D$165)*4))+(H191*(1+(0.01-$D$165)*5))+((H185*(1+(0.01-$D$165)*5))/0.05)*(1-$D$195)+$D$203)/H16</f>
        <v>7.603886464</v>
      </c>
      <c r="F220" s="18">
        <f>((D191*(1+(0.01-$D$165)))+(E191*(1+(0.01-$D$165)*2))+(F191*(1+(0.01-$D$165)*3))+(G191*(1+(0.01-$D$165)*4))+(H191*(1+(0.01-$D$165)*5))+((H185*(1+(0.01-$D$165)*5))/0.055)*(1-$D$195)+$D$203)/H16</f>
        <v>7.087016423</v>
      </c>
      <c r="G220" s="18">
        <f>((D191*(1+(0.01-$D$165)))+(E191*(1+(0.01-$D$165)*2))+(F191*(1+(0.01-$D$165)*3))+(G191*(1+(0.01-$D$165)*4))+(H191*(1+(0.01-$D$165)*5))+((H185*(1+(0.01-$D$165)*5))/0.06)*(1-$D$195)+$D$203)/H16</f>
        <v>6.656291388</v>
      </c>
      <c r="H220" s="18">
        <f>((D191*(1+(0.01-$D$165)))+(E191*(1+(0.01-$D$165)*2))+(F191*(1+(0.01-$D$165)*3))+(G191*(1+(0.01-$D$165)*4))+(H191*(1+(0.01-$D$165)*5))+((H185*(1+(0.01-$D$165)*5))/0.065)*(1-$D$195)+$D$203)/H16</f>
        <v>6.291831744</v>
      </c>
      <c r="I220" s="18">
        <f>((D191*(1+(0.01-$D$165)))+(E191*(1+(0.01-$D$165)*2))+(F191*(1+(0.01-$D$165)*3))+(G191*(1+(0.01-$D$165)*4))+(H191*(1+(0.01-$D$165)*5))+((H185*(1+(0.01-$D$165)*5))/0.07)*(1-$D$195)+$D$203)/H16</f>
        <v>5.979437763</v>
      </c>
    </row>
    <row r="221">
      <c r="C221" s="51">
        <v>0.02</v>
      </c>
      <c r="D221" s="18">
        <f>((D191*(1+(0.02-$D$165)))+(E191*(1+(0.02-$D$165)*2))+(F191*(1+(0.02-$D$165)*3))+(G191*(1+(0.02-$D$165)*4))+(H191*(1+(0.02-$D$165)*5))+((H185*(1+(0.02-$D$165)*5))/0.045)*(1-$D$195)+$D$203)/H16</f>
        <v>8.608956327</v>
      </c>
      <c r="E221" s="18">
        <f>((D191*(1+(0.02-$D$165)))+(E191*(1+(0.02-$D$165)*2))+(F191*(1+(0.02-$D$165)*3))+(G191*(1+(0.02-$D$165)*4))+(H191*(1+(0.02-$D$165)*5))+((H185*(1+(0.02-$D$165)*5))/0.05)*(1-$D$195)+$D$203)/H16</f>
        <v>7.942130162</v>
      </c>
      <c r="F221" s="18">
        <f>((D191*(1+(0.02-$D$165)))+(E191*(1+(0.02-$D$165)*2))+(F191*(1+(0.02-$D$165)*3))+(G191*(1+(0.02-$D$165)*4))+(H191*(1+(0.02-$D$165)*5))+((H185*(1+(0.02-$D$165)*5))/0.055)*(1-$D$195)+$D$203)/H16</f>
        <v>7.396545118</v>
      </c>
      <c r="G221" s="18">
        <f>((D191*(1+(0.02-$D$165)))+(E191*(1+(0.02-$D$165)*2))+(F191*(1+(0.02-$D$165)*3))+(G191*(1+(0.02-$D$165)*4))+(H191*(1+(0.02-$D$165)*5))+((H185*(1+(0.02-$D$165)*5))/0.06)*(1-$D$195)+$D$203)/H16</f>
        <v>6.941890915</v>
      </c>
      <c r="H221" s="18">
        <f>((D191*(1+(0.02-$D$165)))+(E191*(1+(0.02-$D$165)*2))+(F191*(1+(0.02-$D$165)*3))+(G191*(1+(0.02-$D$165)*4))+(H191*(1+(0.02-$D$165)*5))+((H185*(1+(0.02-$D$165)*5))/0.065)*(1-$D$195)+$D$203)/H16</f>
        <v>6.557183513</v>
      </c>
      <c r="I221" s="18">
        <f>((D191*(1+(0.02-$D$165)))+(E191*(1+(0.02-$D$165)*2))+(F191*(1+(0.02-$D$165)*3))+(G191*(1+(0.02-$D$165)*4))+(H191*(1+(0.02-$D$165)*5))+((H185*(1+(0.02-$D$165)*5))/0.07)*(1-$D$195)+$D$203)/H16</f>
        <v>6.22743431</v>
      </c>
    </row>
    <row r="222">
      <c r="C222" s="51">
        <v>0.03</v>
      </c>
      <c r="D222" s="18">
        <f>((D191*(1+(0.03-$D$165)))+(E191*(1+(0.03-$D$165)*2))+(F191*(1+(0.03-$D$165)*3))+(G191*(1+(0.03-$D$165)*4))+(H191*(1+(0.03-$D$165)*5))+((H185*(1+(0.03-$D$165)*5))/0.045)*(1-$D$195)+$D$203)/H16</f>
        <v>8.982296139</v>
      </c>
      <c r="E222" s="18">
        <f>((D191*(1+(0.03-$D$165)))+(E191*(1+(0.03-$D$165)*2))+(F191*(1+(0.03-$D$165)*3))+(G191*(1+(0.03-$D$165)*4))+(H191*(1+(0.03-$D$165)*5))+((H185*(1+(0.03-$D$165)*5))/0.05)*(1-$D$195)+$D$203)/H16</f>
        <v>8.28037386</v>
      </c>
      <c r="F222" s="54">
        <f>((D191*(1+(0.03-$D$165)))+(E191*(1+(0.03-$D$165)*2))+(F191*(1+(0.03-$D$165)*3))+(G191*(1+(0.03-$D$165)*4))+(H191*(1+(0.03-$D$165)*5))+((H185*(1+(0.03-$D$165)*5))/0.055)*(1-$D$195)+$D$203)/H16</f>
        <v>7.706073814</v>
      </c>
      <c r="G222" s="18">
        <f>((D191*(1+(0.03-$D$165)))+(E191*(1+(0.03-$D$165)*2))+(F191*(1+(0.03-$D$165)*3))+(G191*(1+(0.03-$D$165)*4))+(H191*(1+(0.03-$D$165)*5))+((H185*(1+(0.03-$D$165)*5))/0.06)*(1-$D$195)+$D$203)/H16</f>
        <v>7.227490443</v>
      </c>
      <c r="H222" s="18">
        <f>((D191*(1+(0.03-$D$165)))+(E191*(1+(0.03-$D$165)*2))+(F191*(1+(0.03-$D$165)*3))+(G191*(1+(0.03-$D$165)*4))+(H191*(1+(0.03-$D$165)*5))+((H185*(1+(0.03-$D$165)*5))/0.065)*(1-$D$195)+$D$203)/H16</f>
        <v>6.822535282</v>
      </c>
      <c r="I222" s="18">
        <f>((D191*(1+(0.03-$D$165)))+(E191*(1+(0.03-$D$165)*2))+(F191*(1+(0.03-$D$165)*3))+(G191*(1+(0.03-$D$165)*4))+(H191*(1+(0.03-$D$165)*5))+((H185*(1+(0.03-$D$165)*5))/0.07)*(1-$D$195)+$D$203)/H16</f>
        <v>6.475430858</v>
      </c>
    </row>
    <row r="223">
      <c r="C223" s="51">
        <v>0.04</v>
      </c>
      <c r="D223" s="18">
        <f>((D191*(1+(0.04-$D$165)))+(E191*(1+(0.04-$D$165)*2))+(F191*(1+(0.04-$D$165)*3))+(G191*(1+(0.04-$D$165)*4))+(H191*(1+(0.04-$D$165)*5))+((H185*(1+(0.04-$D$165)*5))/0.045)*(1-$D$195)+$D$203)/H16</f>
        <v>9.355635951</v>
      </c>
      <c r="E223" s="18">
        <f>((D191*(1+(0.04-$D$165)))+(E191*(1+(0.04-$D$165)*2))+(F191*(1+(0.04-$D$165)*3))+(G191*(1+(0.04-$D$165)*4))+(H191*(1+(0.04-$D$165)*5))+((H185*(1+(0.04-$D$165)*5))/0.05)*(1-$D$195)+$D$203)/H16</f>
        <v>8.618617558</v>
      </c>
      <c r="F223" s="18">
        <f>((D191*(1+(0.04-$D$165)))+(E191*(1+(0.04-$D$165)*2))+(F191*(1+(0.04-$D$165)*3))+(G191*(1+(0.04-$D$165)*4))+(H191*(1+(0.04-$D$165)*5))+((H185*(1+(0.04-$D$165)*5))/0.055)*(1-$D$195)+$D$203)/H16</f>
        <v>8.01560251</v>
      </c>
      <c r="G223" s="18">
        <f>((D191*(1+(0.04-$D$165)))+(E191*(1+(0.04-$D$165)*2))+(F191*(1+(0.04-$D$165)*3))+(G191*(1+(0.04-$D$165)*4))+(H191*(1+(0.04-$D$165)*5))+((H185*(1+(0.04-$D$165)*5))/0.06)*(1-$D$195)+$D$203)/H16</f>
        <v>7.51308997</v>
      </c>
      <c r="H223" s="18">
        <f>((D191*(1+(0.04-$D$165)))+(E191*(1+(0.04-$D$165)*2))+(F191*(1+(0.04-$D$165)*3))+(G191*(1+(0.04-$D$165)*4))+(H191*(1+(0.04-$D$165)*5))+((H185*(1+(0.04-$D$165)*5))/0.065)*(1-$D$195)+$D$203)/H16</f>
        <v>7.087887051</v>
      </c>
      <c r="I223" s="18">
        <f>((D191*(1+(0.04-$D$165)))+(E191*(1+(0.04-$D$165)*2))+(F191*(1+(0.04-$D$165)*3))+(G191*(1+(0.04-$D$165)*4))+(H191*(1+(0.04-$D$165)*5))+((H185*(1+(0.04-$D$165)*5))/0.07)*(1-$D$195)+$D$203)/H16</f>
        <v>6.723427406</v>
      </c>
    </row>
    <row r="224">
      <c r="C224" s="51">
        <v>0.05</v>
      </c>
      <c r="D224" s="18">
        <f>((D191*(1+(0.05-$D$165)))+(E191*(1+(0.05-$D$165)*2))+(F191*(1+(0.05-$D$165)*3))+(G191*(1+(0.05-$D$165)*4))+(H191*(1+(0.05-$D$165)*5))+((H185*(1+(0.05-$D$165)*5))/0.045)*(1-$D$195)+$D$203)/H16</f>
        <v>9.728975763</v>
      </c>
      <c r="E224" s="18">
        <f>((D191*(1+(0.05-$D$165)))+(E191*(1+(0.05-$D$165)*2))+(F191*(1+(0.05-$D$165)*3))+(G191*(1+(0.05-$D$165)*4))+(H191*(1+(0.05-$D$165)*5))+((H185*(1+(0.05-$D$165)*5))/0.05)*(1-$D$195)+$D$203)/H16</f>
        <v>8.956861256</v>
      </c>
      <c r="F224" s="18">
        <f>((D191*(1+(0.05-$D$165)))+(E191*(1+(0.05-$D$165)*2))+(F191*(1+(0.05-$D$165)*3))+(G191*(1+(0.05-$D$165)*4))+(H191*(1+(0.05-$D$165)*5))+((H185*(1+(0.05-$D$165)*5))/0.055)*(1-$D$195)+$D$203)/H16</f>
        <v>8.325131206</v>
      </c>
      <c r="G224" s="18">
        <f>((D191*(1+(0.05-$D$165)))+(E191*(1+(0.05-$D$165)*2))+(F191*(1+(0.05-$D$165)*3))+(G191*(1+(0.05-$D$165)*4))+(H191*(1+(0.05-$D$165)*5))+((H185*(1+(0.05-$D$165)*5))/0.06)*(1-$D$195)+$D$203)/H16</f>
        <v>7.798689497</v>
      </c>
      <c r="H224" s="18">
        <f>((D191*(1+(0.05-$D$165)))+(E191*(1+(0.05-$D$165)*2))+(F191*(1+(0.05-$D$165)*3))+(G191*(1+(0.05-$D$165)*4))+(H191*(1+(0.05-$D$165)*5))+((H185*(1+(0.05-$D$165)*5))/0.065)*(1-$D$195)+$D$203)/H16</f>
        <v>7.35323882</v>
      </c>
      <c r="I224" s="18">
        <f>((D191*(1+(0.05-$D$165)))+(E191*(1+(0.05-$D$165)*2))+(F191*(1+(0.05-$D$165)*3))+(G191*(1+(0.05-$D$165)*4))+(H191*(1+(0.05-$D$165)*5))+((H185*(1+(0.05-$D$165)*5))/0.07)*(1-$D$195)+$D$203)/H16</f>
        <v>6.971423954</v>
      </c>
    </row>
    <row r="227">
      <c r="B227" s="3" t="s">
        <v>234</v>
      </c>
      <c r="C227" s="4"/>
      <c r="D227" s="4"/>
      <c r="E227" s="4"/>
    </row>
    <row r="228">
      <c r="B228" s="6" t="s">
        <v>235</v>
      </c>
      <c r="D228" s="5" t="s">
        <v>236</v>
      </c>
    </row>
    <row r="229">
      <c r="B229" s="5" t="s">
        <v>237</v>
      </c>
      <c r="D229" s="5" t="s">
        <v>238</v>
      </c>
    </row>
    <row r="230">
      <c r="B230" s="55" t="s">
        <v>239</v>
      </c>
      <c r="D230" s="5" t="s">
        <v>240</v>
      </c>
    </row>
    <row r="231">
      <c r="B231" s="56" t="s">
        <v>241</v>
      </c>
      <c r="D231" s="5" t="s">
        <v>242</v>
      </c>
    </row>
  </sheetData>
  <drawing r:id="rId1"/>
</worksheet>
</file>